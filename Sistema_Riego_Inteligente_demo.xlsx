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9708" tabRatio="600" firstSheet="0" activeTab="2" autoFilterDateGrouping="1"/>
  </bookViews>
  <sheets>
    <sheet name="riego_diario" sheetId="1" state="visible" r:id="rId1"/>
    <sheet name="parametros" sheetId="2" state="visible" r:id="rId2"/>
    <sheet name="panel" sheetId="3" state="visible" r:id="rId3"/>
    <sheet name="clima_rea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dd/mm/yyyy"/>
    <numFmt numFmtId="165" formatCode="[$-80A]dd\-mmm\-yy;@"/>
    <numFmt numFmtId="166" formatCode="0.00_ "/>
    <numFmt numFmtId="167" formatCode="yyyy\-mm\-dd"/>
    <numFmt numFmtId="168" formatCode="_ * #,##0.00_ ;_ * \-#,##0.00_ ;_ * &quot;-&quot;??_ ;_ @_ "/>
    <numFmt numFmtId="169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Arial Unicode MS"/>
      <charset val="134"/>
      <color theme="1"/>
      <sz val="10"/>
    </font>
    <font>
      <name val="Arial Unicode MS"/>
      <charset val="134"/>
      <b val="1"/>
      <color theme="1"/>
      <sz val="14"/>
    </font>
    <font>
      <name val="Calibri"/>
      <charset val="134"/>
      <b val="1"/>
      <color theme="1"/>
      <sz val="12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8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9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167" fontId="0" fillId="0" borderId="0" applyAlignment="1" pivotButton="0" quotePrefix="0" xfId="0">
      <alignment vertical="center"/>
    </xf>
    <xf numFmtId="167" fontId="1" fillId="0" borderId="0" applyAlignment="1" pivotButton="0" quotePrefix="0" xfId="0">
      <alignment vertical="center"/>
    </xf>
    <xf numFmtId="58" fontId="0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4" fontId="0" fillId="0" borderId="0" pivotButton="0" quotePrefix="0" xfId="0"/>
    <xf numFmtId="167" fontId="0" fillId="0" borderId="0" applyAlignment="1" pivotButton="0" quotePrefix="0" xfId="0">
      <alignment vertical="center"/>
    </xf>
    <xf numFmtId="167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20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es-ES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altLang="es-ES"/>
              <a:t xml:space="preserve">Déficit hídrico y umbral de riego </a:t>
            </a:r>
            <a:endParaRPr lang="es-CL" altLang="es-ES"/>
          </a:p>
        </rich>
      </tx>
      <layout/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riego_diario!$P$1</f>
              <strCache>
                <ptCount val="1"/>
                <pt idx="0">
                  <v>deficit_acumulado_mm</v>
                </pt>
              </strCache>
            </strRef>
          </tx>
          <spPr>
            <a:ln w="28575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cat>
            <numRef>
              <f>riego_diario!$A$2:$A$100</f>
              <numCache>
                <formatCode>dd/mm/yyyy</formatCode>
                <ptCount val="99"/>
                <pt idx="0">
                  <v>46042</v>
                </pt>
                <pt idx="1">
                  <v>46043</v>
                </pt>
                <pt idx="2">
                  <v>46044</v>
                </pt>
                <pt idx="3">
                  <v>46045</v>
                </pt>
                <pt idx="4">
                  <v>46046</v>
                </pt>
                <pt idx="5">
                  <v>46047</v>
                </pt>
                <pt idx="6">
                  <v>46048</v>
                </pt>
                <pt idx="7">
                  <v>46049</v>
                </pt>
                <pt idx="8">
                  <v>46050</v>
                </pt>
                <pt idx="9">
                  <v>46051</v>
                </pt>
                <pt idx="10">
                  <v>46052</v>
                </pt>
                <pt idx="11">
                  <v>46053</v>
                </pt>
                <pt idx="12">
                  <v>46054</v>
                </pt>
                <pt idx="13">
                  <v>46055</v>
                </pt>
                <pt idx="14">
                  <v>46056</v>
                </pt>
                <pt idx="15">
                  <v>46057</v>
                </pt>
                <pt idx="16">
                  <v>46058</v>
                </pt>
              </numCache>
            </numRef>
          </cat>
          <val>
            <numRef>
              <f>riego_diario!$P$2:$P$100</f>
              <numCache>
                <formatCode>General</formatCode>
                <ptCount val="99"/>
                <pt idx="0">
                  <v>23.81</v>
                </pt>
                <pt idx="1">
                  <v>27.644</v>
                </pt>
                <pt idx="2">
                  <v>31.67</v>
                </pt>
                <pt idx="3">
                  <v>35.75</v>
                </pt>
                <pt idx="4">
                  <v>39.56</v>
                </pt>
                <pt idx="5">
                  <v>42.064</v>
                </pt>
                <pt idx="6">
                  <v>45.73</v>
                </pt>
                <pt idx="7">
                  <v>49.426</v>
                </pt>
                <pt idx="8">
                  <v>53.722</v>
                </pt>
                <pt idx="9">
                  <v>57.58</v>
                </pt>
                <pt idx="10">
                  <v>61.054</v>
                </pt>
                <pt idx="11">
                  <v>63.784</v>
                </pt>
                <pt idx="12">
                  <v>66.85599999999999</v>
                </pt>
                <pt idx="13">
                  <v>68.964</v>
                </pt>
                <pt idx="14">
                  <v>3.408</v>
                </pt>
                <pt idx="15">
                  <v>5.676</v>
                </pt>
                <pt idx="16">
                  <v>9.156000000000001</v>
                </pt>
              </numCache>
            </numRef>
          </val>
          <smooth val="0"/>
        </ser>
        <ser>
          <idx val="1"/>
          <order val="1"/>
          <tx>
            <strRef>
              <f>riego_diario!$R$1</f>
              <strCache>
                <ptCount val="1"/>
                <pt idx="0">
                  <v>RAW_mm</v>
                </pt>
              </strCache>
            </strRef>
          </tx>
          <spPr>
            <a:ln w="28575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cat>
            <numRef>
              <f>riego_diario!$A$2:$A$100</f>
              <numCache>
                <formatCode>dd/mm/yyyy</formatCode>
                <ptCount val="99"/>
                <pt idx="0">
                  <v>46042</v>
                </pt>
                <pt idx="1">
                  <v>46043</v>
                </pt>
                <pt idx="2">
                  <v>46044</v>
                </pt>
                <pt idx="3">
                  <v>46045</v>
                </pt>
                <pt idx="4">
                  <v>46046</v>
                </pt>
                <pt idx="5">
                  <v>46047</v>
                </pt>
                <pt idx="6">
                  <v>46048</v>
                </pt>
                <pt idx="7">
                  <v>46049</v>
                </pt>
                <pt idx="8">
                  <v>46050</v>
                </pt>
                <pt idx="9">
                  <v>46051</v>
                </pt>
                <pt idx="10">
                  <v>46052</v>
                </pt>
                <pt idx="11">
                  <v>46053</v>
                </pt>
                <pt idx="12">
                  <v>46054</v>
                </pt>
                <pt idx="13">
                  <v>46055</v>
                </pt>
                <pt idx="14">
                  <v>46056</v>
                </pt>
                <pt idx="15">
                  <v>46057</v>
                </pt>
                <pt idx="16">
                  <v>46058</v>
                </pt>
              </numCache>
            </numRef>
          </cat>
          <val>
            <numRef>
              <f>riego_diario!$R$2:$R$100</f>
              <numCache>
                <formatCode>General</formatCode>
                <ptCount val="99"/>
                <pt idx="0">
                  <v>67.5</v>
                </pt>
                <pt idx="1">
                  <v>67.5</v>
                </pt>
                <pt idx="2">
                  <v>67.5</v>
                </pt>
                <pt idx="3">
                  <v>67.5</v>
                </pt>
                <pt idx="4">
                  <v>67.5</v>
                </pt>
                <pt idx="5">
                  <v>67.5</v>
                </pt>
                <pt idx="6">
                  <v>67.5</v>
                </pt>
                <pt idx="7">
                  <v>67.5</v>
                </pt>
                <pt idx="8">
                  <v>67.5</v>
                </pt>
                <pt idx="9">
                  <v>67.5</v>
                </pt>
                <pt idx="10">
                  <v>67.5</v>
                </pt>
                <pt idx="11">
                  <v>67.5</v>
                </pt>
                <pt idx="12">
                  <v>67.5</v>
                </pt>
                <pt idx="13">
                  <v>67.5</v>
                </pt>
                <pt idx="14">
                  <v>67.5</v>
                </pt>
                <pt idx="15">
                  <v>67.5</v>
                </pt>
                <pt idx="16">
                  <v>67.5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0"/>
        <smooth val="0"/>
        <axId val="431923191"/>
        <axId val="936477350"/>
      </lineChart>
      <dateAx>
        <axId val="431923191"/>
        <scaling>
          <orientation val="minMax"/>
        </scaling>
        <delete val="0"/>
        <axPos val="b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s-E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936477350"/>
        <crosses val="autoZero"/>
        <lblOffset val="100"/>
        <baseTimeUnit val="days"/>
      </dateAx>
      <valAx>
        <axId val="93647735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defTabSz="914400">
                  <a:defRPr lang="es-E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altLang="es-ES"/>
                  <a:t>Agua(mm)</a:t>
                </a:r>
                <a:endParaRPr lang="es-CL" altLang="es-ES"/>
              </a:p>
            </rich>
          </tx>
          <layout/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 w="12700" cap="flat" cmpd="sng" algn="ctr">
            <a:noFill/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s-E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431923191"/>
        <crosses val="autoZero"/>
        <crossBetween val="between"/>
      </valAx>
    </plotArea>
    <legend>
      <legendPos val="b"/>
      <layout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es-ES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Déficit hídrico vs. umbral RAW</a:t>
            </a:r>
          </a:p>
        </rich>
      </tx>
    </title>
    <plotArea>
      <lineChart>
        <grouping val="standard"/>
        <ser>
          <idx val="0"/>
          <order val="0"/>
          <tx>
            <v>Déficit acumulado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'riego_diario'!$A$2:$A$18</f>
            </numRef>
          </cat>
          <val>
            <numRef>
              <f>'riego_diario'!$P$2:$P$18</f>
            </numRef>
          </val>
        </ser>
        <ser>
          <idx val="1"/>
          <order val="1"/>
          <tx>
            <v>Umbral RAW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'riego_diario'!$A$2:$A$18</f>
            </numRef>
          </cat>
          <val>
            <numRef>
              <f>'riego_diario'!$R$2:$R$18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Agua (mm)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535940</colOff>
      <row>30</row>
      <rowOff>33020</rowOff>
    </from>
    <to>
      <col>12</col>
      <colOff>210820</colOff>
      <row>45</row>
      <rowOff>33020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"/>
  <sheetViews>
    <sheetView topLeftCell="A18" workbookViewId="0">
      <selection activeCell="D40" sqref="D40"/>
    </sheetView>
  </sheetViews>
  <sheetFormatPr baseColWidth="8" defaultColWidth="8.888888888888889" defaultRowHeight="14.4"/>
  <cols>
    <col width="10.7777777777778" customWidth="1" style="1" min="1" max="1"/>
    <col width="12.8888888888889" customWidth="1" style="1" min="12" max="14"/>
    <col width="12.8888888888889" customWidth="1" style="1" min="21" max="23"/>
    <col width="12.8888888888889" customWidth="1" style="1" min="27" max="27"/>
    <col width="30.7777777777778" customWidth="1" style="1" min="28" max="28"/>
    <col width="12.8888888888889" customWidth="1" style="1" min="29" max="29"/>
  </cols>
  <sheetData>
    <row r="1">
      <c r="A1" s="0" t="inlineStr">
        <is>
          <t>fecha</t>
        </is>
      </c>
      <c r="B1" s="0" t="inlineStr">
        <is>
          <t>cultivo</t>
        </is>
      </c>
      <c r="C1" s="0" t="inlineStr">
        <is>
          <t>etapa</t>
        </is>
      </c>
      <c r="D1" s="0" t="inlineStr">
        <is>
          <t>eto_mm</t>
        </is>
      </c>
      <c r="E1" s="0" t="inlineStr">
        <is>
          <t>kc</t>
        </is>
      </c>
      <c r="F1" s="0" t="inlineStr">
        <is>
          <t>lluvia_efectiva_mm</t>
        </is>
      </c>
      <c r="G1" s="0" t="inlineStr">
        <is>
          <t>superficie_ha</t>
        </is>
      </c>
      <c r="H1" s="0" t="inlineStr">
        <is>
          <t>eficiencia_riego</t>
        </is>
      </c>
      <c r="I1" s="0" t="inlineStr">
        <is>
          <t>caudal_m3_h</t>
        </is>
      </c>
      <c r="J1" s="0" t="inlineStr">
        <is>
          <t>etc_mm</t>
        </is>
      </c>
      <c r="K1" s="0" t="inlineStr">
        <is>
          <t>necesidad_neta_mm</t>
        </is>
      </c>
      <c r="L1" s="0" t="inlineStr">
        <is>
          <t>necesidad_bruta_mm</t>
        </is>
      </c>
      <c r="M1" s="0" t="inlineStr">
        <is>
          <t>volumen_riego_m3</t>
        </is>
      </c>
      <c r="N1" s="0" t="inlineStr">
        <is>
          <t>tiempo_riego_h</t>
        </is>
      </c>
      <c r="O1" s="0" t="inlineStr">
        <is>
          <t>reposicion_diaria</t>
        </is>
      </c>
      <c r="P1" s="0" t="inlineStr">
        <is>
          <t>deficit_acumulado_mm</t>
        </is>
      </c>
      <c r="Q1" s="0" t="inlineStr">
        <is>
          <t>TAW_mm</t>
        </is>
      </c>
      <c r="R1" s="0" t="inlineStr">
        <is>
          <t>RAW_mm</t>
        </is>
      </c>
      <c r="S1" s="0" t="inlineStr">
        <is>
          <t>decision_riego</t>
        </is>
      </c>
      <c r="T1" s="2" t="inlineStr">
        <is>
          <t>riego_neto_mm</t>
        </is>
      </c>
      <c r="U1" s="0" t="inlineStr">
        <is>
          <t>riego_bruto_mm</t>
        </is>
      </c>
      <c r="V1" s="0" t="inlineStr">
        <is>
          <t>volumen_aplicar_m3</t>
        </is>
      </c>
      <c r="W1" s="0" t="inlineStr">
        <is>
          <t>tiempo_aplicar_h</t>
        </is>
      </c>
      <c r="X1" s="0" t="inlineStr">
        <is>
          <t>deficit_final_mm</t>
        </is>
      </c>
      <c r="Y1" s="2" t="inlineStr">
        <is>
          <t>horas_max_evento</t>
        </is>
      </c>
      <c r="Z1" s="0" t="inlineStr">
        <is>
          <t>eventos_necesarios</t>
        </is>
      </c>
      <c r="AA1" s="0" t="inlineStr">
        <is>
          <t>horas_por_evento</t>
        </is>
      </c>
      <c r="AB1" s="0" t="inlineStr">
        <is>
          <t>recomendacion_final</t>
        </is>
      </c>
      <c r="AC1" s="2" t="inlineStr">
        <is>
          <t>uso_RAW_pct</t>
        </is>
      </c>
      <c r="AD1" s="0" t="inlineStr">
        <is>
          <t>estado_hidrico</t>
        </is>
      </c>
      <c r="AE1" s="0" t="inlineStr">
        <is>
          <t>tasa_aplicacion_mm_h</t>
        </is>
      </c>
    </row>
    <row r="2">
      <c r="A2" s="16" t="n">
        <v>46042</v>
      </c>
      <c r="B2" s="2">
        <f>parametros!$B$13</f>
        <v/>
      </c>
      <c r="C2" s="0">
        <f>parametros!$B$14</f>
        <v/>
      </c>
      <c r="D2" s="17">
        <f>VLOOKUP(A2,clima_real!$A$2:$E$26,2,FALSE)</f>
        <v/>
      </c>
      <c r="E2" s="2">
        <f>VLOOKUP(C2,parametros!$A$2:$B$6,2,FALSE)</f>
        <v/>
      </c>
      <c r="F2" s="2">
        <f>VLOOKUP(A2,clima_real!$A$2:$E$26,5,FALSE)</f>
        <v/>
      </c>
      <c r="G2" s="0">
        <f>parametros!$B$15</f>
        <v/>
      </c>
      <c r="H2" s="0">
        <f>parametros!$B$16</f>
        <v/>
      </c>
      <c r="I2" s="0">
        <f>parametros!$B$17</f>
        <v/>
      </c>
      <c r="J2" s="0">
        <f>D2*E2</f>
        <v/>
      </c>
      <c r="K2" s="2">
        <f>IF(J2-F2&gt;0,J2-F2,0)</f>
        <v/>
      </c>
      <c r="L2" s="0">
        <f>K2/H2</f>
        <v/>
      </c>
      <c r="M2" s="0">
        <f>L2*G2*10</f>
        <v/>
      </c>
      <c r="N2" s="0">
        <f>M2/I2</f>
        <v/>
      </c>
      <c r="O2" s="2">
        <f>IF(N2=0,"No regar","Regar "&amp;ROUND(N2,2)&amp;" horas")</f>
        <v/>
      </c>
      <c r="P2" s="2">
        <f>IF(parametros!$B$12+J2-F2&gt;0,parametros!$B$12+J2-F2,0)</f>
        <v/>
      </c>
      <c r="Q2" s="2">
        <f>1000*(VLOOKUP(parametros!$B$18,parametros!$D$2:$F$100,2,FALSE)-VLOOKUP(parametros!$B$18,parametros!$D$2:$F$100,3,FALSE))*parametros!$B$19</f>
        <v/>
      </c>
      <c r="R2" s="2">
        <f>parametros!$B$20*Q2</f>
        <v/>
      </c>
      <c r="S2" s="2">
        <f>IF(P2&gt;=R2,"Regar","No regar")</f>
        <v/>
      </c>
      <c r="T2" s="2">
        <f>IF(S2="Regar",P2,0)</f>
        <v/>
      </c>
      <c r="U2" s="2">
        <f>IF(T2=0,0,T2/H2)</f>
        <v/>
      </c>
      <c r="V2" s="2">
        <f>U2*G2*10</f>
        <v/>
      </c>
      <c r="W2" s="2">
        <f>IF(V2=0,0,V2/I2)</f>
        <v/>
      </c>
      <c r="X2" s="2">
        <f>MAX(P2-T2,0)</f>
        <v/>
      </c>
      <c r="Y2" s="0">
        <f>parametros!$B$21</f>
        <v/>
      </c>
      <c r="Z2" s="0">
        <f>IF(OR(Y2=0,W2=0),0,ROUNDUP(W2/Y2,0))</f>
        <v/>
      </c>
      <c r="AA2" s="0">
        <f>IF(Z2=0,0,W2/Z2)</f>
        <v/>
      </c>
      <c r="AB2" s="0">
        <f>IF(S2="No regar","No regar","Regar en "&amp;Z2&amp;" eventos de "&amp;ROUND(AA2,2)&amp;" horas")</f>
        <v/>
      </c>
      <c r="AC2" s="9">
        <f>IF(R2=0,0,P2/R2)</f>
        <v/>
      </c>
      <c r="AD2" s="0">
        <f>IF(S2="Regar","Regar",IF(AC2&gt;=0.8,"Atencion","Normal"))</f>
        <v/>
      </c>
      <c r="AE2" s="0">
        <f>I2/(G2*10)</f>
        <v/>
      </c>
    </row>
    <row r="3">
      <c r="A3" s="16" t="n">
        <v>46043</v>
      </c>
      <c r="B3" s="0">
        <f>parametros!$B$13</f>
        <v/>
      </c>
      <c r="C3" s="0">
        <f>parametros!$B$14</f>
        <v/>
      </c>
      <c r="D3" s="17">
        <f>VLOOKUP(A3,clima_real!$A$2:$E$26,2,FALSE)</f>
        <v/>
      </c>
      <c r="E3" s="2">
        <f>VLOOKUP(C3,parametros!$A$2:$B$6,2,FALSE)</f>
        <v/>
      </c>
      <c r="F3" s="2">
        <f>VLOOKUP(A3,clima_real!$A$2:$E$26,5,FALSE)</f>
        <v/>
      </c>
      <c r="G3" s="2">
        <f>parametros!$B$15</f>
        <v/>
      </c>
      <c r="H3" s="0">
        <f>parametros!$B$16</f>
        <v/>
      </c>
      <c r="I3" s="0">
        <f>parametros!$B$17</f>
        <v/>
      </c>
      <c r="J3" s="0">
        <f>D3*E3</f>
        <v/>
      </c>
      <c r="K3" s="2">
        <f>IF(J3-F3&gt;0,J3-F3,0)</f>
        <v/>
      </c>
      <c r="L3" s="0">
        <f>K3/H3</f>
        <v/>
      </c>
      <c r="M3" s="0">
        <f>L3*G3*10</f>
        <v/>
      </c>
      <c r="N3" s="0">
        <f>M3/I3</f>
        <v/>
      </c>
      <c r="O3" s="2">
        <f>IF(N3=0,"No regar","Regar "&amp;ROUND(N3,2)&amp;" horas")</f>
        <v/>
      </c>
      <c r="P3" s="2">
        <f>IF(X2+J3-F3&gt;0,X2+J3-F3,0)</f>
        <v/>
      </c>
      <c r="Q3" s="2">
        <f>1000*(VLOOKUP(parametros!$B$18,parametros!$D$2:$F$100,2,FALSE)-VLOOKUP(parametros!$B$18,parametros!$D$2:$F$100,3,FALSE))*parametros!$B$19</f>
        <v/>
      </c>
      <c r="R3" s="2">
        <f>parametros!$B$20*Q3</f>
        <v/>
      </c>
      <c r="S3" s="2">
        <f>IF(P3&gt;=R3,"Regar","No regar")</f>
        <v/>
      </c>
      <c r="T3" s="2">
        <f>IF(S3="Regar",P3,0)</f>
        <v/>
      </c>
      <c r="U3" s="2">
        <f>IF(T3=0,0,T3/H3)</f>
        <v/>
      </c>
      <c r="V3" s="2">
        <f>U3*G3*10</f>
        <v/>
      </c>
      <c r="W3" s="2">
        <f>IF(V3=0,0,V3/I3)</f>
        <v/>
      </c>
      <c r="X3" s="2">
        <f>MAX(P3-T3,0)</f>
        <v/>
      </c>
      <c r="Y3" s="0">
        <f>parametros!$B$21</f>
        <v/>
      </c>
      <c r="Z3" s="0">
        <f>IF(OR(Y3=0,W3=0),0,ROUNDUP(W3/Y3,0))</f>
        <v/>
      </c>
      <c r="AA3" s="0">
        <f>IF(Z3=0,0,W3/Z3)</f>
        <v/>
      </c>
      <c r="AB3" s="0">
        <f>IF(S3="No regar","No regar","Regar en "&amp;Z3&amp;" eventos de "&amp;ROUND(AA3,2)&amp;" horas")</f>
        <v/>
      </c>
      <c r="AC3" s="9">
        <f>IF(R3=0,0,P3/R3)</f>
        <v/>
      </c>
      <c r="AD3" s="0">
        <f>IF(S3="Regar","Regar",IF(AC3&gt;=0.8,"Atencion","Normal"))</f>
        <v/>
      </c>
      <c r="AE3" s="0">
        <f>I3/(G3*10)</f>
        <v/>
      </c>
    </row>
    <row r="4">
      <c r="A4" s="16" t="n">
        <v>46044</v>
      </c>
      <c r="B4" s="0">
        <f>parametros!$B$13</f>
        <v/>
      </c>
      <c r="C4" s="0">
        <f>parametros!$B$14</f>
        <v/>
      </c>
      <c r="D4" s="17">
        <f>VLOOKUP(A4,clima_real!$A$2:$E$26,2,FALSE)</f>
        <v/>
      </c>
      <c r="E4" s="2">
        <f>VLOOKUP(C4,parametros!$A$2:$B$6,2,FALSE)</f>
        <v/>
      </c>
      <c r="F4" s="2">
        <f>VLOOKUP(A4,clima_real!$A$2:$E$26,5,FALSE)</f>
        <v/>
      </c>
      <c r="G4" s="2">
        <f>parametros!$B$15</f>
        <v/>
      </c>
      <c r="H4" s="0">
        <f>parametros!$B$16</f>
        <v/>
      </c>
      <c r="I4" s="0">
        <f>parametros!$B$17</f>
        <v/>
      </c>
      <c r="J4" s="0">
        <f>D4*E4</f>
        <v/>
      </c>
      <c r="K4" s="2">
        <f>IF(J4-F4&gt;0,J4-F4,0)</f>
        <v/>
      </c>
      <c r="L4" s="0">
        <f>K4/H4</f>
        <v/>
      </c>
      <c r="M4" s="0">
        <f>L4*G4*10</f>
        <v/>
      </c>
      <c r="N4" s="0">
        <f>M4/I4</f>
        <v/>
      </c>
      <c r="O4" s="2">
        <f>IF(N4=0,"No regar","Regar "&amp;ROUND(N4,2)&amp;" horas")</f>
        <v/>
      </c>
      <c r="P4" s="2">
        <f>IF(X3+J4-F4&gt;0,X3+J4-F4,0)</f>
        <v/>
      </c>
      <c r="Q4" s="2">
        <f>1000*(VLOOKUP(parametros!$B$18,parametros!$D$2:$F$100,2,FALSE)-VLOOKUP(parametros!$B$18,parametros!$D$2:$F$100,3,FALSE))*parametros!$B$19</f>
        <v/>
      </c>
      <c r="R4" s="2">
        <f>parametros!$B$20*Q4</f>
        <v/>
      </c>
      <c r="S4" s="2">
        <f>IF(P4&gt;=R4,"Regar","No regar")</f>
        <v/>
      </c>
      <c r="T4" s="2">
        <f>IF(S4="Regar",P4,0)</f>
        <v/>
      </c>
      <c r="U4" s="2">
        <f>IF(T4=0,0,T4/H4)</f>
        <v/>
      </c>
      <c r="V4" s="2">
        <f>U4*G4*10</f>
        <v/>
      </c>
      <c r="W4" s="2">
        <f>IF(V4=0,0,V4/I4)</f>
        <v/>
      </c>
      <c r="X4" s="2">
        <f>MAX(P4-T4,0)</f>
        <v/>
      </c>
      <c r="Y4" s="0">
        <f>parametros!$B$21</f>
        <v/>
      </c>
      <c r="Z4" s="0">
        <f>IF(OR(Y4=0,W4=0),0,ROUNDUP(W4/Y4,0))</f>
        <v/>
      </c>
      <c r="AA4" s="0">
        <f>IF(Z4=0,0,W4/Z4)</f>
        <v/>
      </c>
      <c r="AB4" s="0">
        <f>IF(S4="No regar","No regar","Regar en "&amp;Z4&amp;" eventos de "&amp;ROUND(AA4,2)&amp;" horas")</f>
        <v/>
      </c>
      <c r="AC4" s="9">
        <f>IF(R4=0,0,P4/R4)</f>
        <v/>
      </c>
      <c r="AD4" s="0">
        <f>IF(S4="Regar","Regar",IF(AC4&gt;=0.8,"Atencion","Normal"))</f>
        <v/>
      </c>
      <c r="AE4" s="0">
        <f>I4/(G4*10)</f>
        <v/>
      </c>
    </row>
    <row r="5">
      <c r="A5" s="16" t="n">
        <v>46045</v>
      </c>
      <c r="B5" s="0">
        <f>parametros!$B$13</f>
        <v/>
      </c>
      <c r="C5" s="0">
        <f>parametros!$B$14</f>
        <v/>
      </c>
      <c r="D5" s="17">
        <f>VLOOKUP(A5,clima_real!$A$2:$E$26,2,FALSE)</f>
        <v/>
      </c>
      <c r="E5" s="2">
        <f>VLOOKUP(C5,parametros!$A$2:$B$6,2,FALSE)</f>
        <v/>
      </c>
      <c r="F5" s="2">
        <f>VLOOKUP(A5,clima_real!$A$2:$E$26,5,FALSE)</f>
        <v/>
      </c>
      <c r="G5" s="2">
        <f>parametros!$B$15</f>
        <v/>
      </c>
      <c r="H5" s="0">
        <f>parametros!$B$16</f>
        <v/>
      </c>
      <c r="I5" s="0">
        <f>parametros!$B$17</f>
        <v/>
      </c>
      <c r="J5" s="0">
        <f>D5*E5</f>
        <v/>
      </c>
      <c r="K5" s="2">
        <f>IF(J5-F5&gt;0,J5-F5,0)</f>
        <v/>
      </c>
      <c r="L5" s="0">
        <f>K5/H5</f>
        <v/>
      </c>
      <c r="M5" s="0">
        <f>L5*G5*10</f>
        <v/>
      </c>
      <c r="N5" s="0">
        <f>M5/I5</f>
        <v/>
      </c>
      <c r="O5" s="2">
        <f>IF(N5=0,"No regar","Regar "&amp;ROUND(N5,2)&amp;" horas")</f>
        <v/>
      </c>
      <c r="P5" s="2">
        <f>IF(X4+J5-F5&gt;0,X4+J5-F5,0)</f>
        <v/>
      </c>
      <c r="Q5" s="2">
        <f>1000*(VLOOKUP(parametros!$B$18,parametros!$D$2:$F$100,2,FALSE)-VLOOKUP(parametros!$B$18,parametros!$D$2:$F$100,3,FALSE))*parametros!$B$19</f>
        <v/>
      </c>
      <c r="R5" s="2">
        <f>parametros!$B$20*Q5</f>
        <v/>
      </c>
      <c r="S5" s="2">
        <f>IF(P5&gt;=R5,"Regar","No regar")</f>
        <v/>
      </c>
      <c r="T5" s="2">
        <f>IF(S5="Regar",P5,0)</f>
        <v/>
      </c>
      <c r="U5" s="2">
        <f>IF(T5=0,0,T5/H5)</f>
        <v/>
      </c>
      <c r="V5" s="2">
        <f>U5*G5*10</f>
        <v/>
      </c>
      <c r="W5" s="2">
        <f>IF(V5=0,0,V5/I5)</f>
        <v/>
      </c>
      <c r="X5" s="2">
        <f>MAX(P5-T5,0)</f>
        <v/>
      </c>
      <c r="Y5" s="0">
        <f>parametros!$B$21</f>
        <v/>
      </c>
      <c r="Z5" s="0">
        <f>IF(OR(Y5=0,W5=0),0,ROUNDUP(W5/Y5,0))</f>
        <v/>
      </c>
      <c r="AA5" s="0">
        <f>IF(Z5=0,0,W5/Z5)</f>
        <v/>
      </c>
      <c r="AB5" s="0">
        <f>IF(S5="No regar","No regar","Regar en "&amp;Z5&amp;" eventos de "&amp;ROUND(AA5,2)&amp;" horas")</f>
        <v/>
      </c>
      <c r="AC5" s="9">
        <f>IF(R5=0,0,P5/R5)</f>
        <v/>
      </c>
      <c r="AD5" s="0">
        <f>IF(S5="Regar","Regar",IF(AC5&gt;=0.8,"Atencion","Normal"))</f>
        <v/>
      </c>
      <c r="AE5" s="0">
        <f>I5/(G5*10)</f>
        <v/>
      </c>
    </row>
    <row r="6">
      <c r="A6" s="16" t="n">
        <v>46046</v>
      </c>
      <c r="B6" s="0">
        <f>parametros!$B$13</f>
        <v/>
      </c>
      <c r="C6" s="0">
        <f>parametros!$B$14</f>
        <v/>
      </c>
      <c r="D6" s="17">
        <f>VLOOKUP(A6,clima_real!$A$2:$E$26,2,FALSE)</f>
        <v/>
      </c>
      <c r="E6" s="2">
        <f>VLOOKUP(C6,parametros!$A$2:$B$6,2,FALSE)</f>
        <v/>
      </c>
      <c r="F6" s="2">
        <f>VLOOKUP(A6,clima_real!$A$2:$E$26,5,FALSE)</f>
        <v/>
      </c>
      <c r="G6" s="2">
        <f>parametros!$B$15</f>
        <v/>
      </c>
      <c r="H6" s="0">
        <f>parametros!$B$16</f>
        <v/>
      </c>
      <c r="I6" s="0">
        <f>parametros!$B$17</f>
        <v/>
      </c>
      <c r="J6" s="0">
        <f>D6*E6</f>
        <v/>
      </c>
      <c r="K6" s="2">
        <f>IF(J6-F6&gt;0,J6-F6,0)</f>
        <v/>
      </c>
      <c r="L6" s="0">
        <f>K6/H6</f>
        <v/>
      </c>
      <c r="M6" s="0">
        <f>L6*G6*10</f>
        <v/>
      </c>
      <c r="N6" s="0">
        <f>M6/I6</f>
        <v/>
      </c>
      <c r="O6" s="2">
        <f>IF(N6=0,"No regar","Regar "&amp;ROUND(N6,2)&amp;" horas")</f>
        <v/>
      </c>
      <c r="P6" s="2">
        <f>IF(X5+J6-F6&gt;0,X5+J6-F6,0)</f>
        <v/>
      </c>
      <c r="Q6" s="2">
        <f>1000*(VLOOKUP(parametros!$B$18,parametros!$D$2:$F$100,2,FALSE)-VLOOKUP(parametros!$B$18,parametros!$D$2:$F$100,3,FALSE))*parametros!$B$19</f>
        <v/>
      </c>
      <c r="R6" s="2">
        <f>parametros!$B$20*Q6</f>
        <v/>
      </c>
      <c r="S6" s="2">
        <f>IF(P6&gt;=R6,"Regar","No regar")</f>
        <v/>
      </c>
      <c r="T6" s="2">
        <f>IF(S6="Regar",P6,0)</f>
        <v/>
      </c>
      <c r="U6" s="2">
        <f>IF(T6=0,0,T6/H6)</f>
        <v/>
      </c>
      <c r="V6" s="2">
        <f>U6*G6*10</f>
        <v/>
      </c>
      <c r="W6" s="2">
        <f>IF(V6=0,0,V6/I6)</f>
        <v/>
      </c>
      <c r="X6" s="2">
        <f>MAX(P6-T6,0)</f>
        <v/>
      </c>
      <c r="Y6" s="0">
        <f>parametros!$B$21</f>
        <v/>
      </c>
      <c r="Z6" s="0">
        <f>IF(OR(Y6=0,W6=0),0,ROUNDUP(W6/Y6,0))</f>
        <v/>
      </c>
      <c r="AA6" s="0">
        <f>IF(Z6=0,0,W6/Z6)</f>
        <v/>
      </c>
      <c r="AB6" s="0">
        <f>IF(S6="No regar","No regar","Regar en "&amp;Z6&amp;" eventos de "&amp;ROUND(AA6,2)&amp;" horas")</f>
        <v/>
      </c>
      <c r="AC6" s="9">
        <f>IF(R6=0,0,P6/R6)</f>
        <v/>
      </c>
      <c r="AD6" s="0">
        <f>IF(S6="Regar","Regar",IF(AC6&gt;=0.8,"Atencion","Normal"))</f>
        <v/>
      </c>
      <c r="AE6" s="0">
        <f>I6/(G6*10)</f>
        <v/>
      </c>
    </row>
    <row r="7">
      <c r="A7" s="16" t="n">
        <v>46047</v>
      </c>
      <c r="B7" s="0">
        <f>parametros!$B$13</f>
        <v/>
      </c>
      <c r="C7" s="0">
        <f>parametros!$B$14</f>
        <v/>
      </c>
      <c r="D7" s="17">
        <f>VLOOKUP(A7,clima_real!$A$2:$E$26,2,FALSE)</f>
        <v/>
      </c>
      <c r="E7" s="2">
        <f>VLOOKUP(C7,parametros!$A$2:$B$6,2,FALSE)</f>
        <v/>
      </c>
      <c r="F7" s="2">
        <f>VLOOKUP(A7,clima_real!$A$2:$E$26,5,FALSE)</f>
        <v/>
      </c>
      <c r="G7" s="2">
        <f>parametros!$B$15</f>
        <v/>
      </c>
      <c r="H7" s="0">
        <f>parametros!$B$16</f>
        <v/>
      </c>
      <c r="I7" s="0">
        <f>parametros!$B$17</f>
        <v/>
      </c>
      <c r="J7" s="0">
        <f>D7*E7</f>
        <v/>
      </c>
      <c r="K7" s="2">
        <f>IF(J7-F7&gt;0,J7-F7,0)</f>
        <v/>
      </c>
      <c r="L7" s="0">
        <f>K7/H7</f>
        <v/>
      </c>
      <c r="M7" s="0">
        <f>L7*G7*10</f>
        <v/>
      </c>
      <c r="N7" s="0">
        <f>M7/I7</f>
        <v/>
      </c>
      <c r="O7" s="2">
        <f>IF(N7=0,"No regar","Regar "&amp;ROUND(N7,2)&amp;" horas")</f>
        <v/>
      </c>
      <c r="P7" s="2">
        <f>IF(X6+J7-F7&gt;0,X6+J7-F7,0)</f>
        <v/>
      </c>
      <c r="Q7" s="2">
        <f>1000*(VLOOKUP(parametros!$B$18,parametros!$D$2:$F$100,2,FALSE)-VLOOKUP(parametros!$B$18,parametros!$D$2:$F$100,3,FALSE))*parametros!$B$19</f>
        <v/>
      </c>
      <c r="R7" s="2">
        <f>parametros!$B$20*Q7</f>
        <v/>
      </c>
      <c r="S7" s="2">
        <f>IF(P7&gt;=R7,"Regar","No regar")</f>
        <v/>
      </c>
      <c r="T7" s="2">
        <f>IF(S7="Regar",P7,0)</f>
        <v/>
      </c>
      <c r="U7" s="2">
        <f>IF(T7=0,0,T7/H7)</f>
        <v/>
      </c>
      <c r="V7" s="2">
        <f>U7*G7*10</f>
        <v/>
      </c>
      <c r="W7" s="2">
        <f>IF(V7=0,0,V7/I7)</f>
        <v/>
      </c>
      <c r="X7" s="2">
        <f>MAX(P7-T7,0)</f>
        <v/>
      </c>
      <c r="Y7" s="0">
        <f>parametros!$B$21</f>
        <v/>
      </c>
      <c r="Z7" s="0">
        <f>IF(OR(Y7=0,W7=0),0,ROUNDUP(W7/Y7,0))</f>
        <v/>
      </c>
      <c r="AA7" s="0">
        <f>IF(Z7=0,0,W7/Z7)</f>
        <v/>
      </c>
      <c r="AB7" s="0">
        <f>IF(S7="No regar","No regar","Regar en "&amp;Z7&amp;" eventos de "&amp;ROUND(AA7,2)&amp;" horas")</f>
        <v/>
      </c>
      <c r="AC7" s="9">
        <f>IF(R7=0,0,P7/R7)</f>
        <v/>
      </c>
      <c r="AD7" s="0">
        <f>IF(S7="Regar","Regar",IF(AC7&gt;=0.8,"Atencion","Normal"))</f>
        <v/>
      </c>
      <c r="AE7" s="0">
        <f>I7/(G7*10)</f>
        <v/>
      </c>
    </row>
    <row r="8">
      <c r="A8" s="16" t="n">
        <v>46048</v>
      </c>
      <c r="B8" s="0">
        <f>parametros!$B$13</f>
        <v/>
      </c>
      <c r="C8" s="0">
        <f>parametros!$B$14</f>
        <v/>
      </c>
      <c r="D8" s="17">
        <f>VLOOKUP(A8,clima_real!$A$2:$E$26,2,FALSE)</f>
        <v/>
      </c>
      <c r="E8" s="2">
        <f>VLOOKUP(C8,parametros!$A$2:$B$6,2,FALSE)</f>
        <v/>
      </c>
      <c r="F8" s="2">
        <f>VLOOKUP(A8,clima_real!$A$2:$E$26,5,FALSE)</f>
        <v/>
      </c>
      <c r="G8" s="2">
        <f>parametros!$B$15</f>
        <v/>
      </c>
      <c r="H8" s="0">
        <f>parametros!$B$16</f>
        <v/>
      </c>
      <c r="I8" s="0">
        <f>parametros!$B$17</f>
        <v/>
      </c>
      <c r="J8" s="0">
        <f>D8*E8</f>
        <v/>
      </c>
      <c r="K8" s="2">
        <f>IF(J8-F8&gt;0,J8-F8,0)</f>
        <v/>
      </c>
      <c r="L8" s="0">
        <f>K8/H8</f>
        <v/>
      </c>
      <c r="M8" s="0">
        <f>L8*G8*10</f>
        <v/>
      </c>
      <c r="N8" s="0">
        <f>M8/I8</f>
        <v/>
      </c>
      <c r="O8" s="2">
        <f>IF(N8=0,"No regar","Regar "&amp;ROUND(N8,2)&amp;" horas")</f>
        <v/>
      </c>
      <c r="P8" s="2">
        <f>IF(X7+J8-F8&gt;0,X7+J8-F8,0)</f>
        <v/>
      </c>
      <c r="Q8" s="2">
        <f>1000*(VLOOKUP(parametros!$B$18,parametros!$D$2:$F$100,2,FALSE)-VLOOKUP(parametros!$B$18,parametros!$D$2:$F$100,3,FALSE))*parametros!$B$19</f>
        <v/>
      </c>
      <c r="R8" s="2">
        <f>parametros!$B$20*Q8</f>
        <v/>
      </c>
      <c r="S8" s="2">
        <f>IF(P8&gt;=R8,"Regar","No regar")</f>
        <v/>
      </c>
      <c r="T8" s="2">
        <f>IF(S8="Regar",P8,0)</f>
        <v/>
      </c>
      <c r="U8" s="2">
        <f>IF(T8=0,0,T8/H8)</f>
        <v/>
      </c>
      <c r="V8" s="2">
        <f>U8*G8*10</f>
        <v/>
      </c>
      <c r="W8" s="2">
        <f>IF(V8=0,0,V8/I8)</f>
        <v/>
      </c>
      <c r="X8" s="2">
        <f>MAX(P8-T8,0)</f>
        <v/>
      </c>
      <c r="Y8" s="0">
        <f>parametros!$B$21</f>
        <v/>
      </c>
      <c r="Z8" s="0">
        <f>IF(OR(Y8=0,W8=0),0,ROUNDUP(W8/Y8,0))</f>
        <v/>
      </c>
      <c r="AA8" s="0">
        <f>IF(Z8=0,0,W8/Z8)</f>
        <v/>
      </c>
      <c r="AB8" s="0">
        <f>IF(S8="No regar","No regar","Regar en "&amp;Z8&amp;" eventos de "&amp;ROUND(AA8,2)&amp;" horas")</f>
        <v/>
      </c>
      <c r="AC8" s="9">
        <f>IF(R8=0,0,P8/R8)</f>
        <v/>
      </c>
      <c r="AD8" s="0">
        <f>IF(S8="Regar","Regar",IF(AC8&gt;=0.8,"Atencion","Normal"))</f>
        <v/>
      </c>
      <c r="AE8" s="0">
        <f>I8/(G8*10)</f>
        <v/>
      </c>
    </row>
    <row r="9">
      <c r="A9" s="16" t="n">
        <v>46049</v>
      </c>
      <c r="B9" s="0">
        <f>parametros!$B$13</f>
        <v/>
      </c>
      <c r="C9" s="0">
        <f>parametros!$B$14</f>
        <v/>
      </c>
      <c r="D9" s="17">
        <f>VLOOKUP(A9,clima_real!$A$2:$E$26,2,FALSE)</f>
        <v/>
      </c>
      <c r="E9" s="2">
        <f>VLOOKUP(C9,parametros!$A$2:$B$6,2,FALSE)</f>
        <v/>
      </c>
      <c r="F9" s="2">
        <f>VLOOKUP(A9,clima_real!$A$2:$E$26,5,FALSE)</f>
        <v/>
      </c>
      <c r="G9" s="2">
        <f>parametros!$B$15</f>
        <v/>
      </c>
      <c r="H9" s="0">
        <f>parametros!$B$16</f>
        <v/>
      </c>
      <c r="I9" s="0">
        <f>parametros!$B$17</f>
        <v/>
      </c>
      <c r="J9" s="0">
        <f>D9*E9</f>
        <v/>
      </c>
      <c r="K9" s="2">
        <f>IF(J9-F9&gt;0,J9-F9,0)</f>
        <v/>
      </c>
      <c r="L9" s="0">
        <f>K9/H9</f>
        <v/>
      </c>
      <c r="M9" s="0">
        <f>L9*G9*10</f>
        <v/>
      </c>
      <c r="N9" s="0">
        <f>M9/I9</f>
        <v/>
      </c>
      <c r="O9" s="2">
        <f>IF(N9=0,"No regar","Regar "&amp;ROUND(N9,2)&amp;" horas")</f>
        <v/>
      </c>
      <c r="P9" s="2">
        <f>IF(X8+J9-F9&gt;0,X8+J9-F9,0)</f>
        <v/>
      </c>
      <c r="Q9" s="2">
        <f>1000*(VLOOKUP(parametros!$B$18,parametros!$D$2:$F$100,2,FALSE)-VLOOKUP(parametros!$B$18,parametros!$D$2:$F$100,3,FALSE))*parametros!$B$19</f>
        <v/>
      </c>
      <c r="R9" s="2">
        <f>parametros!$B$20*Q9</f>
        <v/>
      </c>
      <c r="S9" s="2">
        <f>IF(P9&gt;=R9,"Regar","No regar")</f>
        <v/>
      </c>
      <c r="T9" s="2">
        <f>IF(S9="Regar",P9,0)</f>
        <v/>
      </c>
      <c r="U9" s="2">
        <f>IF(T9=0,0,T9/H9)</f>
        <v/>
      </c>
      <c r="V9" s="2">
        <f>U9*G9*10</f>
        <v/>
      </c>
      <c r="W9" s="2">
        <f>IF(V9=0,0,V9/I9)</f>
        <v/>
      </c>
      <c r="X9" s="2">
        <f>MAX(P9-T9,0)</f>
        <v/>
      </c>
      <c r="Y9" s="0">
        <f>parametros!$B$21</f>
        <v/>
      </c>
      <c r="Z9" s="0">
        <f>IF(OR(Y9=0,W9=0),0,ROUNDUP(W9/Y9,0))</f>
        <v/>
      </c>
      <c r="AA9" s="0">
        <f>IF(Z9=0,0,W9/Z9)</f>
        <v/>
      </c>
      <c r="AB9" s="0">
        <f>IF(S9="No regar","No regar","Regar en "&amp;Z9&amp;" eventos de "&amp;ROUND(AA9,2)&amp;" horas")</f>
        <v/>
      </c>
      <c r="AC9" s="9">
        <f>IF(R9=0,0,P9/R9)</f>
        <v/>
      </c>
      <c r="AD9" s="0">
        <f>IF(S9="Regar","Regar",IF(AC9&gt;=0.8,"Atencion","Normal"))</f>
        <v/>
      </c>
      <c r="AE9" s="0">
        <f>I9/(G9*10)</f>
        <v/>
      </c>
    </row>
    <row r="10">
      <c r="A10" s="16" t="n">
        <v>46050</v>
      </c>
      <c r="B10" s="0">
        <f>parametros!$B$13</f>
        <v/>
      </c>
      <c r="C10" s="0">
        <f>parametros!$B$14</f>
        <v/>
      </c>
      <c r="D10" s="17">
        <f>VLOOKUP(A10,clima_real!$A$2:$E$26,2,FALSE)</f>
        <v/>
      </c>
      <c r="E10" s="2">
        <f>VLOOKUP(C10,parametros!$A$2:$B$6,2,FALSE)</f>
        <v/>
      </c>
      <c r="F10" s="2">
        <f>VLOOKUP(A10,clima_real!$A$2:$E$26,5,FALSE)</f>
        <v/>
      </c>
      <c r="G10" s="2">
        <f>parametros!$B$15</f>
        <v/>
      </c>
      <c r="H10" s="0">
        <f>parametros!$B$16</f>
        <v/>
      </c>
      <c r="I10" s="0">
        <f>parametros!$B$17</f>
        <v/>
      </c>
      <c r="J10" s="0">
        <f>D10*E10</f>
        <v/>
      </c>
      <c r="K10" s="2">
        <f>IF(J10-F10&gt;0,J10-F10,0)</f>
        <v/>
      </c>
      <c r="L10" s="0">
        <f>K10/H10</f>
        <v/>
      </c>
      <c r="M10" s="0">
        <f>L10*G10*10</f>
        <v/>
      </c>
      <c r="N10" s="0">
        <f>M10/I10</f>
        <v/>
      </c>
      <c r="O10" s="2">
        <f>IF(N10=0,"No regar","Regar "&amp;ROUND(N10,2)&amp;" horas")</f>
        <v/>
      </c>
      <c r="P10" s="2">
        <f>IF(X9+J10-F10&gt;0,X9+J10-F10,0)</f>
        <v/>
      </c>
      <c r="Q10" s="2">
        <f>1000*(VLOOKUP(parametros!$B$18,parametros!$D$2:$F$100,2,FALSE)-VLOOKUP(parametros!$B$18,parametros!$D$2:$F$100,3,FALSE))*parametros!$B$19</f>
        <v/>
      </c>
      <c r="R10" s="2">
        <f>parametros!$B$20*Q10</f>
        <v/>
      </c>
      <c r="S10" s="2">
        <f>IF(P10&gt;=R10,"Regar","No regar")</f>
        <v/>
      </c>
      <c r="T10" s="2">
        <f>IF(S10="Regar",P10,0)</f>
        <v/>
      </c>
      <c r="U10" s="2">
        <f>IF(T10=0,0,T10/H10)</f>
        <v/>
      </c>
      <c r="V10" s="2">
        <f>U10*G10*10</f>
        <v/>
      </c>
      <c r="W10" s="2">
        <f>IF(V10=0,0,V10/I10)</f>
        <v/>
      </c>
      <c r="X10" s="2">
        <f>MAX(P10-T10,0)</f>
        <v/>
      </c>
      <c r="Y10" s="0">
        <f>parametros!$B$21</f>
        <v/>
      </c>
      <c r="Z10" s="0">
        <f>IF(OR(Y10=0,W10=0),0,ROUNDUP(W10/Y10,0))</f>
        <v/>
      </c>
      <c r="AA10" s="0">
        <f>IF(Z10=0,0,W10/Z10)</f>
        <v/>
      </c>
      <c r="AB10" s="0">
        <f>IF(S10="No regar","No regar","Regar en "&amp;Z10&amp;" eventos de "&amp;ROUND(AA10,2)&amp;" horas")</f>
        <v/>
      </c>
      <c r="AC10" s="9">
        <f>IF(R10=0,0,P10/R10)</f>
        <v/>
      </c>
      <c r="AD10" s="0">
        <f>IF(S10="Regar","Regar",IF(AC10&gt;=0.8,"Atencion","Normal"))</f>
        <v/>
      </c>
      <c r="AE10" s="0">
        <f>I10/(G10*10)</f>
        <v/>
      </c>
    </row>
    <row r="11">
      <c r="A11" s="16" t="n">
        <v>46051</v>
      </c>
      <c r="B11" s="0">
        <f>parametros!$B$13</f>
        <v/>
      </c>
      <c r="C11" s="0">
        <f>parametros!$B$14</f>
        <v/>
      </c>
      <c r="D11" s="17">
        <f>VLOOKUP(A11,clima_real!$A$2:$E$26,2,FALSE)</f>
        <v/>
      </c>
      <c r="E11" s="2">
        <f>VLOOKUP(C11,parametros!$A$2:$B$6,2,FALSE)</f>
        <v/>
      </c>
      <c r="F11" s="2">
        <f>VLOOKUP(A11,clima_real!$A$2:$E$26,5,FALSE)</f>
        <v/>
      </c>
      <c r="G11" s="2">
        <f>parametros!$B$15</f>
        <v/>
      </c>
      <c r="H11" s="0">
        <f>parametros!$B$16</f>
        <v/>
      </c>
      <c r="I11" s="0">
        <f>parametros!$B$17</f>
        <v/>
      </c>
      <c r="J11" s="0">
        <f>D11*E11</f>
        <v/>
      </c>
      <c r="K11" s="2">
        <f>IF(J11-F11&gt;0,J11-F11,0)</f>
        <v/>
      </c>
      <c r="L11" s="0">
        <f>K11/H11</f>
        <v/>
      </c>
      <c r="M11" s="0">
        <f>L11*G11*10</f>
        <v/>
      </c>
      <c r="N11" s="0">
        <f>M11/I11</f>
        <v/>
      </c>
      <c r="O11" s="2">
        <f>IF(N11=0,"No regar","Regar "&amp;ROUND(N11,2)&amp;" horas")</f>
        <v/>
      </c>
      <c r="P11" s="2">
        <f>IF(X10+J11-F11&gt;0,X10+J11-F11,0)</f>
        <v/>
      </c>
      <c r="Q11" s="2">
        <f>1000*(VLOOKUP(parametros!$B$18,parametros!$D$2:$F$100,2,FALSE)-VLOOKUP(parametros!$B$18,parametros!$D$2:$F$100,3,FALSE))*parametros!$B$19</f>
        <v/>
      </c>
      <c r="R11" s="2">
        <f>parametros!$B$20*Q11</f>
        <v/>
      </c>
      <c r="S11" s="2">
        <f>IF(P11&gt;=R11,"Regar","No regar")</f>
        <v/>
      </c>
      <c r="T11" s="2">
        <f>IF(S11="Regar",P11,0)</f>
        <v/>
      </c>
      <c r="U11" s="2">
        <f>IF(T11=0,0,T11/H11)</f>
        <v/>
      </c>
      <c r="V11" s="2">
        <f>U11*G11*10</f>
        <v/>
      </c>
      <c r="W11" s="2">
        <f>IF(V11=0,0,V11/I11)</f>
        <v/>
      </c>
      <c r="X11" s="2">
        <f>MAX(P11-T11,0)</f>
        <v/>
      </c>
      <c r="Y11" s="0">
        <f>parametros!$B$21</f>
        <v/>
      </c>
      <c r="Z11" s="0">
        <f>IF(OR(Y11=0,W11=0),0,ROUNDUP(W11/Y11,0))</f>
        <v/>
      </c>
      <c r="AA11" s="0">
        <f>IF(Z11=0,0,W11/Z11)</f>
        <v/>
      </c>
      <c r="AB11" s="0">
        <f>IF(S11="No regar","No regar","Regar en "&amp;Z11&amp;" eventos de "&amp;ROUND(AA11,2)&amp;" horas")</f>
        <v/>
      </c>
      <c r="AC11" s="9">
        <f>IF(R11=0,0,P11/R11)</f>
        <v/>
      </c>
      <c r="AD11" s="0">
        <f>IF(S11="Regar","Regar",IF(AC11&gt;=0.8,"Atencion","Normal"))</f>
        <v/>
      </c>
      <c r="AE11" s="0">
        <f>I11/(G11*10)</f>
        <v/>
      </c>
    </row>
    <row r="12">
      <c r="A12" s="16" t="n">
        <v>46052</v>
      </c>
      <c r="B12" s="0">
        <f>parametros!$B$13</f>
        <v/>
      </c>
      <c r="C12" s="0">
        <f>parametros!$B$14</f>
        <v/>
      </c>
      <c r="D12" s="17">
        <f>VLOOKUP(A12,clima_real!$A$2:$E$26,2,FALSE)</f>
        <v/>
      </c>
      <c r="E12" s="2">
        <f>VLOOKUP(C12,parametros!$A$2:$B$6,2,FALSE)</f>
        <v/>
      </c>
      <c r="F12" s="2">
        <f>VLOOKUP(A12,clima_real!$A$2:$E$26,5,FALSE)</f>
        <v/>
      </c>
      <c r="G12" s="2">
        <f>parametros!$B$15</f>
        <v/>
      </c>
      <c r="H12" s="0">
        <f>parametros!$B$16</f>
        <v/>
      </c>
      <c r="I12" s="0">
        <f>parametros!$B$17</f>
        <v/>
      </c>
      <c r="J12" s="0">
        <f>D12*E12</f>
        <v/>
      </c>
      <c r="K12" s="2">
        <f>IF(J12-F12&gt;0,J12-F12,0)</f>
        <v/>
      </c>
      <c r="L12" s="0">
        <f>K12/H12</f>
        <v/>
      </c>
      <c r="M12" s="0">
        <f>L12*G12*10</f>
        <v/>
      </c>
      <c r="N12" s="0">
        <f>M12/I12</f>
        <v/>
      </c>
      <c r="O12" s="2">
        <f>IF(N12=0,"No regar","Regar "&amp;ROUND(N12,2)&amp;" horas")</f>
        <v/>
      </c>
      <c r="P12" s="2">
        <f>IF(X11+J12-F12&gt;0,X11+J12-F12,0)</f>
        <v/>
      </c>
      <c r="Q12" s="2">
        <f>1000*(VLOOKUP(parametros!$B$18,parametros!$D$2:$F$100,2,FALSE)-VLOOKUP(parametros!$B$18,parametros!$D$2:$F$100,3,FALSE))*parametros!$B$19</f>
        <v/>
      </c>
      <c r="R12" s="2">
        <f>parametros!$B$20*Q12</f>
        <v/>
      </c>
      <c r="S12" s="2">
        <f>IF(P12&gt;=R12,"Regar","No regar")</f>
        <v/>
      </c>
      <c r="T12" s="2">
        <f>IF(S12="Regar",P12,0)</f>
        <v/>
      </c>
      <c r="U12" s="2">
        <f>IF(T12=0,0,T12/H12)</f>
        <v/>
      </c>
      <c r="V12" s="2">
        <f>U12*G12*10</f>
        <v/>
      </c>
      <c r="W12" s="2">
        <f>IF(V12=0,0,V12/I12)</f>
        <v/>
      </c>
      <c r="X12" s="2">
        <f>MAX(P12-T12,0)</f>
        <v/>
      </c>
      <c r="Y12" s="0">
        <f>parametros!$B$21</f>
        <v/>
      </c>
      <c r="Z12" s="0">
        <f>IF(OR(Y12=0,W12=0),0,ROUNDUP(W12/Y12,0))</f>
        <v/>
      </c>
      <c r="AA12" s="0">
        <f>IF(Z12=0,0,W12/Z12)</f>
        <v/>
      </c>
      <c r="AB12" s="0">
        <f>IF(S12="No regar","No regar","Regar en "&amp;Z12&amp;" eventos de "&amp;ROUND(AA12,2)&amp;" horas")</f>
        <v/>
      </c>
      <c r="AC12" s="9">
        <f>IF(R12=0,0,P12/R12)</f>
        <v/>
      </c>
      <c r="AD12" s="0">
        <f>IF(S12="Regar","Regar",IF(AC12&gt;=0.8,"Atencion","Normal"))</f>
        <v/>
      </c>
      <c r="AE12" s="0">
        <f>I12/(G12*10)</f>
        <v/>
      </c>
    </row>
    <row r="13">
      <c r="A13" s="16" t="n">
        <v>46053</v>
      </c>
      <c r="B13" s="0">
        <f>parametros!$B$13</f>
        <v/>
      </c>
      <c r="C13" s="0">
        <f>parametros!$B$14</f>
        <v/>
      </c>
      <c r="D13" s="17">
        <f>VLOOKUP(A13,clima_real!$A$2:$E$26,2,FALSE)</f>
        <v/>
      </c>
      <c r="E13" s="2">
        <f>VLOOKUP(C13,parametros!$A$2:$B$6,2,FALSE)</f>
        <v/>
      </c>
      <c r="F13" s="2">
        <f>VLOOKUP(A13,clima_real!$A$2:$E$26,5,FALSE)</f>
        <v/>
      </c>
      <c r="G13" s="2">
        <f>parametros!$B$15</f>
        <v/>
      </c>
      <c r="H13" s="0">
        <f>parametros!$B$16</f>
        <v/>
      </c>
      <c r="I13" s="0">
        <f>parametros!$B$17</f>
        <v/>
      </c>
      <c r="J13" s="0">
        <f>D13*E13</f>
        <v/>
      </c>
      <c r="K13" s="2">
        <f>IF(J13-F13&gt;0,J13-F13,0)</f>
        <v/>
      </c>
      <c r="L13" s="0">
        <f>K13/H13</f>
        <v/>
      </c>
      <c r="M13" s="0">
        <f>L13*G13*10</f>
        <v/>
      </c>
      <c r="N13" s="0">
        <f>M13/I13</f>
        <v/>
      </c>
      <c r="O13" s="2">
        <f>IF(N13=0,"No regar","Regar "&amp;ROUND(N13,2)&amp;" horas")</f>
        <v/>
      </c>
      <c r="P13" s="2">
        <f>IF(X12+J13-F13&gt;0,X12+J13-F13,0)</f>
        <v/>
      </c>
      <c r="Q13" s="2">
        <f>1000*(VLOOKUP(parametros!$B$18,parametros!$D$2:$F$100,2,FALSE)-VLOOKUP(parametros!$B$18,parametros!$D$2:$F$100,3,FALSE))*parametros!$B$19</f>
        <v/>
      </c>
      <c r="R13" s="2">
        <f>parametros!$B$20*Q13</f>
        <v/>
      </c>
      <c r="S13" s="2">
        <f>IF(P13&gt;=R13,"Regar","No regar")</f>
        <v/>
      </c>
      <c r="T13" s="2">
        <f>IF(S13="Regar",P13,0)</f>
        <v/>
      </c>
      <c r="U13" s="2">
        <f>IF(T13=0,0,T13/H13)</f>
        <v/>
      </c>
      <c r="V13" s="2">
        <f>U13*G13*10</f>
        <v/>
      </c>
      <c r="W13" s="2">
        <f>IF(V13=0,0,V13/I13)</f>
        <v/>
      </c>
      <c r="X13" s="2">
        <f>MAX(P13-T13,0)</f>
        <v/>
      </c>
      <c r="Y13" s="0">
        <f>parametros!$B$21</f>
        <v/>
      </c>
      <c r="Z13" s="0">
        <f>IF(OR(Y13=0,W13=0),0,ROUNDUP(W13/Y13,0))</f>
        <v/>
      </c>
      <c r="AA13" s="0">
        <f>IF(Z13=0,0,W13/Z13)</f>
        <v/>
      </c>
      <c r="AB13" s="0">
        <f>IF(S13="No regar","No regar","Regar en "&amp;Z13&amp;" eventos de "&amp;ROUND(AA13,2)&amp;" horas")</f>
        <v/>
      </c>
      <c r="AC13" s="9">
        <f>IF(R13=0,0,P13/R13)</f>
        <v/>
      </c>
      <c r="AD13" s="0">
        <f>IF(S13="Regar","Regar",IF(AC13&gt;=0.8,"Atencion","Normal"))</f>
        <v/>
      </c>
      <c r="AE13" s="0">
        <f>I13/(G13*10)</f>
        <v/>
      </c>
    </row>
    <row r="14">
      <c r="A14" s="16" t="n">
        <v>46054</v>
      </c>
      <c r="B14" s="0">
        <f>parametros!$B$13</f>
        <v/>
      </c>
      <c r="C14" s="0">
        <f>parametros!$B$14</f>
        <v/>
      </c>
      <c r="D14" s="17">
        <f>VLOOKUP(A14,clima_real!$A$2:$E$26,2,FALSE)</f>
        <v/>
      </c>
      <c r="E14" s="2">
        <f>VLOOKUP(C14,parametros!$A$2:$B$6,2,FALSE)</f>
        <v/>
      </c>
      <c r="F14" s="2">
        <f>VLOOKUP(A14,clima_real!$A$2:$E$26,5,FALSE)</f>
        <v/>
      </c>
      <c r="G14" s="2">
        <f>parametros!$B$15</f>
        <v/>
      </c>
      <c r="H14" s="0">
        <f>parametros!$B$16</f>
        <v/>
      </c>
      <c r="I14" s="0">
        <f>parametros!$B$17</f>
        <v/>
      </c>
      <c r="J14" s="0">
        <f>D14*E14</f>
        <v/>
      </c>
      <c r="K14" s="2">
        <f>IF(J14-F14&gt;0,J14-F14,0)</f>
        <v/>
      </c>
      <c r="L14" s="0">
        <f>K14/H14</f>
        <v/>
      </c>
      <c r="M14" s="0">
        <f>L14*G14*10</f>
        <v/>
      </c>
      <c r="N14" s="0">
        <f>M14/I14</f>
        <v/>
      </c>
      <c r="O14" s="2">
        <f>IF(N14=0,"No regar","Regar "&amp;ROUND(N14,2)&amp;" horas")</f>
        <v/>
      </c>
      <c r="P14" s="2">
        <f>IF(X13+J14-F14&gt;0,X13+J14-F14,0)</f>
        <v/>
      </c>
      <c r="Q14" s="2">
        <f>1000*(VLOOKUP(parametros!$B$18,parametros!$D$2:$F$100,2,FALSE)-VLOOKUP(parametros!$B$18,parametros!$D$2:$F$100,3,FALSE))*parametros!$B$19</f>
        <v/>
      </c>
      <c r="R14" s="2">
        <f>parametros!$B$20*Q14</f>
        <v/>
      </c>
      <c r="S14" s="2">
        <f>IF(P14&gt;=R14,"Regar","No regar")</f>
        <v/>
      </c>
      <c r="T14" s="2">
        <f>IF(S14="Regar",P14,0)</f>
        <v/>
      </c>
      <c r="U14" s="2">
        <f>IF(T14=0,0,T14/H14)</f>
        <v/>
      </c>
      <c r="V14" s="2">
        <f>U14*G14*10</f>
        <v/>
      </c>
      <c r="W14" s="2">
        <f>IF(V14=0,0,V14/I14)</f>
        <v/>
      </c>
      <c r="X14" s="2">
        <f>MAX(P14-T14,0)</f>
        <v/>
      </c>
      <c r="Y14" s="0">
        <f>parametros!$B$21</f>
        <v/>
      </c>
      <c r="Z14" s="0">
        <f>IF(OR(Y14=0,W14=0),0,ROUNDUP(W14/Y14,0))</f>
        <v/>
      </c>
      <c r="AA14" s="0">
        <f>IF(Z14=0,0,W14/Z14)</f>
        <v/>
      </c>
      <c r="AB14" s="0">
        <f>IF(S14="No regar","No regar","Regar en "&amp;Z14&amp;" eventos de "&amp;ROUND(AA14,2)&amp;" horas")</f>
        <v/>
      </c>
      <c r="AC14" s="9">
        <f>IF(R14=0,0,P14/R14)</f>
        <v/>
      </c>
      <c r="AD14" s="0">
        <f>IF(S14="Regar","Regar",IF(AC14&gt;=0.8,"Atencion","Normal"))</f>
        <v/>
      </c>
      <c r="AE14" s="0">
        <f>I14/(G14*10)</f>
        <v/>
      </c>
    </row>
    <row r="15">
      <c r="A15" s="16" t="n">
        <v>46055</v>
      </c>
      <c r="B15" s="0">
        <f>parametros!$B$13</f>
        <v/>
      </c>
      <c r="C15" s="0">
        <f>parametros!$B$14</f>
        <v/>
      </c>
      <c r="D15" s="17">
        <f>VLOOKUP(A15,clima_real!$A$2:$E$26,2,FALSE)</f>
        <v/>
      </c>
      <c r="E15" s="2">
        <f>VLOOKUP(C15,parametros!$A$2:$B$6,2,FALSE)</f>
        <v/>
      </c>
      <c r="F15" s="2">
        <f>VLOOKUP(A15,clima_real!$A$2:$E$26,5,FALSE)</f>
        <v/>
      </c>
      <c r="G15" s="2">
        <f>parametros!$B$15</f>
        <v/>
      </c>
      <c r="H15" s="0">
        <f>parametros!$B$16</f>
        <v/>
      </c>
      <c r="I15" s="0">
        <f>parametros!$B$17</f>
        <v/>
      </c>
      <c r="J15" s="0">
        <f>D15*E15</f>
        <v/>
      </c>
      <c r="K15" s="2">
        <f>IF(J15-F15&gt;0,J15-F15,0)</f>
        <v/>
      </c>
      <c r="L15" s="0">
        <f>K15/H15</f>
        <v/>
      </c>
      <c r="M15" s="0">
        <f>L15*G15*10</f>
        <v/>
      </c>
      <c r="N15" s="0">
        <f>M15/I15</f>
        <v/>
      </c>
      <c r="O15" s="2">
        <f>IF(N15=0,"No regar","Regar "&amp;ROUND(N15,2)&amp;" horas")</f>
        <v/>
      </c>
      <c r="P15" s="2">
        <f>IF(X14+J15-F15&gt;0,X14+J15-F15,0)</f>
        <v/>
      </c>
      <c r="Q15" s="2">
        <f>1000*(VLOOKUP(parametros!$B$18,parametros!$D$2:$F$100,2,FALSE)-VLOOKUP(parametros!$B$18,parametros!$D$2:$F$100,3,FALSE))*parametros!$B$19</f>
        <v/>
      </c>
      <c r="R15" s="2">
        <f>parametros!$B$20*Q15</f>
        <v/>
      </c>
      <c r="S15" s="2">
        <f>IF(P15&gt;=R15,"Regar","No regar")</f>
        <v/>
      </c>
      <c r="T15" s="2">
        <f>IF(S15="Regar",P15,0)</f>
        <v/>
      </c>
      <c r="U15" s="2">
        <f>IF(T15=0,0,T15/H15)</f>
        <v/>
      </c>
      <c r="V15" s="2">
        <f>U15*G15*10</f>
        <v/>
      </c>
      <c r="W15" s="2">
        <f>IF(V15=0,0,V15/I15)</f>
        <v/>
      </c>
      <c r="X15" s="2">
        <f>MAX(P15-T15,0)</f>
        <v/>
      </c>
      <c r="Y15" s="0">
        <f>parametros!$B$21</f>
        <v/>
      </c>
      <c r="Z15" s="0">
        <f>IF(OR(Y15=0,W15=0),0,ROUNDUP(W15/Y15,0))</f>
        <v/>
      </c>
      <c r="AA15" s="0">
        <f>IF(Z15=0,0,W15/Z15)</f>
        <v/>
      </c>
      <c r="AB15" s="0">
        <f>IF(S15="No regar","No regar","Regar en "&amp;Z15&amp;" eventos de "&amp;ROUND(AA15,2)&amp;" horas")</f>
        <v/>
      </c>
      <c r="AC15" s="9">
        <f>IF(R15=0,0,P15/R15)</f>
        <v/>
      </c>
      <c r="AD15" s="0">
        <f>IF(S15="Regar","Regar",IF(AC15&gt;=0.8,"Atencion","Normal"))</f>
        <v/>
      </c>
      <c r="AE15" s="0">
        <f>I15/(G15*10)</f>
        <v/>
      </c>
    </row>
    <row r="16">
      <c r="A16" s="16" t="n">
        <v>46056</v>
      </c>
      <c r="B16" s="0">
        <f>parametros!$B$13</f>
        <v/>
      </c>
      <c r="C16" s="0">
        <f>parametros!$B$14</f>
        <v/>
      </c>
      <c r="D16" s="17">
        <f>VLOOKUP(A16,clima_real!$A$2:$E$26,2,FALSE)</f>
        <v/>
      </c>
      <c r="E16" s="2">
        <f>VLOOKUP(C16,parametros!$A$2:$B$6,2,FALSE)</f>
        <v/>
      </c>
      <c r="F16" s="2">
        <f>VLOOKUP(A16,clima_real!$A$2:$E$26,5,FALSE)</f>
        <v/>
      </c>
      <c r="G16" s="2">
        <f>parametros!$B$15</f>
        <v/>
      </c>
      <c r="H16" s="0">
        <f>parametros!$B$16</f>
        <v/>
      </c>
      <c r="I16" s="0">
        <f>parametros!$B$17</f>
        <v/>
      </c>
      <c r="J16" s="0">
        <f>D16*E16</f>
        <v/>
      </c>
      <c r="K16" s="2">
        <f>IF(J16-F16&gt;0,J16-F16,0)</f>
        <v/>
      </c>
      <c r="L16" s="0">
        <f>K16/H16</f>
        <v/>
      </c>
      <c r="M16" s="0">
        <f>L16*G16*10</f>
        <v/>
      </c>
      <c r="N16" s="0">
        <f>M16/I16</f>
        <v/>
      </c>
      <c r="O16" s="2">
        <f>IF(N16=0,"No regar","Regar "&amp;ROUND(N16,2)&amp;" horas")</f>
        <v/>
      </c>
      <c r="P16" s="2">
        <f>IF(X15+J16-F16&gt;0,X15+J16-F16,0)</f>
        <v/>
      </c>
      <c r="Q16" s="2">
        <f>1000*(VLOOKUP(parametros!$B$18,parametros!$D$2:$F$100,2,FALSE)-VLOOKUP(parametros!$B$18,parametros!$D$2:$F$100,3,FALSE))*parametros!$B$19</f>
        <v/>
      </c>
      <c r="R16" s="2">
        <f>parametros!$B$20*Q16</f>
        <v/>
      </c>
      <c r="S16" s="2">
        <f>IF(P16&gt;=R16,"Regar","No regar")</f>
        <v/>
      </c>
      <c r="T16" s="2">
        <f>IF(S16="Regar",P16,0)</f>
        <v/>
      </c>
      <c r="U16" s="2">
        <f>IF(T16=0,0,T16/H16)</f>
        <v/>
      </c>
      <c r="V16" s="2">
        <f>U16*G16*10</f>
        <v/>
      </c>
      <c r="W16" s="2">
        <f>IF(V16=0,0,V16/I16)</f>
        <v/>
      </c>
      <c r="X16" s="2">
        <f>MAX(P16-T16,0)</f>
        <v/>
      </c>
      <c r="Y16" s="0">
        <f>parametros!$B$21</f>
        <v/>
      </c>
      <c r="Z16" s="0">
        <f>IF(OR(Y16=0,W16=0),0,ROUNDUP(W16/Y16,0))</f>
        <v/>
      </c>
      <c r="AA16" s="0">
        <f>IF(Z16=0,0,W16/Z16)</f>
        <v/>
      </c>
      <c r="AB16" s="0">
        <f>IF(S16="No regar","No regar","Regar en "&amp;Z16&amp;" eventos de "&amp;ROUND(AA16,2)&amp;" horas")</f>
        <v/>
      </c>
      <c r="AC16" s="9">
        <f>IF(R16=0,0,P16/R16)</f>
        <v/>
      </c>
      <c r="AD16" s="0">
        <f>IF(S16="Regar","Regar",IF(AC16&gt;=0.8,"Atencion","Normal"))</f>
        <v/>
      </c>
      <c r="AE16" s="0">
        <f>I16/(G16*10)</f>
        <v/>
      </c>
    </row>
    <row r="17">
      <c r="A17" s="16" t="n">
        <v>46057</v>
      </c>
      <c r="B17" s="0">
        <f>parametros!$B$13</f>
        <v/>
      </c>
      <c r="C17" s="0">
        <f>parametros!$B$14</f>
        <v/>
      </c>
      <c r="D17" s="17">
        <f>VLOOKUP(A17,clima_real!$A$2:$E$26,2,FALSE)</f>
        <v/>
      </c>
      <c r="E17" s="2">
        <f>VLOOKUP(C17,parametros!$A$2:$B$6,2,FALSE)</f>
        <v/>
      </c>
      <c r="F17" s="2">
        <f>VLOOKUP(A17,clima_real!$A$2:$E$26,5,FALSE)</f>
        <v/>
      </c>
      <c r="G17" s="2">
        <f>parametros!$B$15</f>
        <v/>
      </c>
      <c r="H17" s="0">
        <f>parametros!$B$16</f>
        <v/>
      </c>
      <c r="I17" s="0">
        <f>parametros!$B$17</f>
        <v/>
      </c>
      <c r="J17" s="0">
        <f>D17*E17</f>
        <v/>
      </c>
      <c r="K17" s="2">
        <f>IF(J17-F17&gt;0,J17-F17,0)</f>
        <v/>
      </c>
      <c r="L17" s="0">
        <f>K17/H17</f>
        <v/>
      </c>
      <c r="M17" s="0">
        <f>L17*G17*10</f>
        <v/>
      </c>
      <c r="N17" s="0">
        <f>M17/I17</f>
        <v/>
      </c>
      <c r="O17" s="2">
        <f>IF(N17=0,"No regar","Regar "&amp;ROUND(N17,2)&amp;" horas")</f>
        <v/>
      </c>
      <c r="P17" s="2">
        <f>IF(X16+J17-F17&gt;0,X16+J17-F17,0)</f>
        <v/>
      </c>
      <c r="Q17" s="2">
        <f>1000*(VLOOKUP(parametros!$B$18,parametros!$D$2:$F$100,2,FALSE)-VLOOKUP(parametros!$B$18,parametros!$D$2:$F$100,3,FALSE))*parametros!$B$19</f>
        <v/>
      </c>
      <c r="R17" s="2">
        <f>parametros!$B$20*Q17</f>
        <v/>
      </c>
      <c r="S17" s="2">
        <f>IF(P17&gt;=R17,"Regar","No regar")</f>
        <v/>
      </c>
      <c r="T17" s="2">
        <f>IF(S17="Regar",P17,0)</f>
        <v/>
      </c>
      <c r="U17" s="2">
        <f>IF(T17=0,0,T17/H17)</f>
        <v/>
      </c>
      <c r="V17" s="2">
        <f>U17*G17*10</f>
        <v/>
      </c>
      <c r="W17" s="2">
        <f>IF(V17=0,0,V17/I17)</f>
        <v/>
      </c>
      <c r="X17" s="2">
        <f>MAX(P17-T17,0)</f>
        <v/>
      </c>
      <c r="Y17" s="0">
        <f>parametros!$B$21</f>
        <v/>
      </c>
      <c r="Z17" s="0">
        <f>IF(OR(Y17=0,W17=0),0,ROUNDUP(W17/Y17,0))</f>
        <v/>
      </c>
      <c r="AA17" s="0">
        <f>IF(Z17=0,0,W17/Z17)</f>
        <v/>
      </c>
      <c r="AB17" s="0">
        <f>IF(S17="No regar","No regar","Regar en "&amp;Z17&amp;" eventos de "&amp;ROUND(AA17,2)&amp;" horas")</f>
        <v/>
      </c>
      <c r="AC17" s="9">
        <f>IF(R17=0,0,P17/R17)</f>
        <v/>
      </c>
      <c r="AD17" s="0">
        <f>IF(S17="Regar","Regar",IF(AC17&gt;=0.8,"Atencion","Normal"))</f>
        <v/>
      </c>
      <c r="AE17" s="0">
        <f>I17/(G17*10)</f>
        <v/>
      </c>
    </row>
    <row r="18">
      <c r="A18" s="16" t="n">
        <v>46058</v>
      </c>
      <c r="B18" s="0">
        <f>parametros!$B$13</f>
        <v/>
      </c>
      <c r="C18" s="0">
        <f>parametros!$B$14</f>
        <v/>
      </c>
      <c r="D18" s="17">
        <f>VLOOKUP(A18,clima_real!$A$2:$E$26,2,FALSE)</f>
        <v/>
      </c>
      <c r="E18" s="2">
        <f>VLOOKUP(C18,parametros!$A$2:$B$6,2,FALSE)</f>
        <v/>
      </c>
      <c r="F18" s="2">
        <f>VLOOKUP(A18,clima_real!$A$2:$E$26,5,FALSE)</f>
        <v/>
      </c>
      <c r="G18" s="2">
        <f>parametros!$B$15</f>
        <v/>
      </c>
      <c r="H18" s="0">
        <f>parametros!$B$16</f>
        <v/>
      </c>
      <c r="I18" s="0">
        <f>parametros!$B$17</f>
        <v/>
      </c>
      <c r="J18" s="0">
        <f>D18*E18</f>
        <v/>
      </c>
      <c r="K18" s="2">
        <f>IF(J18-F18&gt;0,J18-F18,0)</f>
        <v/>
      </c>
      <c r="L18" s="0">
        <f>K18/H18</f>
        <v/>
      </c>
      <c r="M18" s="0">
        <f>L18*G18*10</f>
        <v/>
      </c>
      <c r="N18" s="0">
        <f>M18/I18</f>
        <v/>
      </c>
      <c r="O18" s="2">
        <f>IF(N18=0,"No regar","Regar "&amp;ROUND(N18,2)&amp;" horas")</f>
        <v/>
      </c>
      <c r="P18" s="2">
        <f>IF(X17+J18-F18&gt;0,X17+J18-F18,0)</f>
        <v/>
      </c>
      <c r="Q18" s="2">
        <f>1000*(VLOOKUP(parametros!$B$18,parametros!$D$2:$F$100,2,FALSE)-VLOOKUP(parametros!$B$18,parametros!$D$2:$F$100,3,FALSE))*parametros!$B$19</f>
        <v/>
      </c>
      <c r="R18" s="2">
        <f>parametros!$B$20*Q18</f>
        <v/>
      </c>
      <c r="S18" s="2">
        <f>IF(P18&gt;=R18,"Regar","No regar")</f>
        <v/>
      </c>
      <c r="T18" s="2">
        <f>IF(S18="Regar",P18,0)</f>
        <v/>
      </c>
      <c r="U18" s="2">
        <f>IF(T18=0,0,T18/H18)</f>
        <v/>
      </c>
      <c r="V18" s="2">
        <f>U18*G18*10</f>
        <v/>
      </c>
      <c r="W18" s="2">
        <f>IF(V18=0,0,V18/I18)</f>
        <v/>
      </c>
      <c r="X18" s="2">
        <f>MAX(P18-T18,0)</f>
        <v/>
      </c>
      <c r="Y18" s="0">
        <f>parametros!$B$21</f>
        <v/>
      </c>
      <c r="Z18" s="0">
        <f>IF(OR(Y18=0,W18=0),0,ROUNDUP(W18/Y18,0))</f>
        <v/>
      </c>
      <c r="AA18" s="0">
        <f>IF(Z18=0,0,W18/Z18)</f>
        <v/>
      </c>
      <c r="AB18" s="0">
        <f>IF(S18="No regar","No regar","Regar en "&amp;Z18&amp;" eventos de "&amp;ROUND(AA18,2)&amp;" horas")</f>
        <v/>
      </c>
      <c r="AC18" s="9">
        <f>IF(R18=0,0,P18/R18)</f>
        <v/>
      </c>
      <c r="AD18" s="0">
        <f>IF(S18="Regar","Regar",IF(AC18&gt;=0.8,"Atencion","Normal"))</f>
        <v/>
      </c>
      <c r="AE18" s="0">
        <f>I18/(G18*10)</f>
        <v/>
      </c>
    </row>
    <row r="19">
      <c r="A19" s="16" t="n"/>
      <c r="D19" s="17" t="n"/>
      <c r="E19" s="2" t="n"/>
      <c r="F19" s="2" t="n"/>
      <c r="K19" s="2" t="n"/>
      <c r="L19" s="0" t="n"/>
      <c r="M19" s="0" t="n"/>
      <c r="N19" s="0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AA19" s="0" t="n"/>
      <c r="AB19" s="0" t="n"/>
      <c r="AC19" s="9" t="n"/>
    </row>
    <row r="20">
      <c r="A20" s="16" t="n"/>
      <c r="D20" s="17" t="n"/>
      <c r="E20" s="2" t="n"/>
      <c r="F20" s="2" t="n"/>
      <c r="K20" s="2" t="n"/>
      <c r="L20" s="0" t="n"/>
      <c r="M20" s="0" t="n"/>
      <c r="N20" s="0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AA20" s="0" t="n"/>
      <c r="AB20" s="0" t="n"/>
      <c r="AC20" s="9" t="n"/>
    </row>
    <row r="21">
      <c r="A21" s="16" t="n"/>
      <c r="D21" s="17" t="n"/>
      <c r="E21" s="2" t="n"/>
      <c r="F21" s="2" t="n"/>
      <c r="K21" s="2" t="n"/>
      <c r="L21" s="0" t="n"/>
      <c r="M21" s="0" t="n"/>
      <c r="N21" s="0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AA21" s="0" t="n"/>
      <c r="AB21" s="0" t="n"/>
      <c r="AC21" s="9" t="n"/>
    </row>
    <row r="22">
      <c r="A22" s="16" t="n"/>
      <c r="D22" s="17" t="n"/>
      <c r="E22" s="2" t="n"/>
      <c r="F22" s="2" t="n"/>
      <c r="K22" s="2" t="n"/>
      <c r="L22" s="0" t="n"/>
      <c r="M22" s="0" t="n"/>
      <c r="N22" s="0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AA22" s="0" t="n"/>
      <c r="AB22" s="0" t="n"/>
      <c r="AC22" s="9" t="n"/>
    </row>
    <row r="23">
      <c r="A23" s="16" t="n"/>
      <c r="D23" s="17" t="n"/>
      <c r="E23" s="2" t="n"/>
      <c r="F23" s="2" t="n"/>
      <c r="K23" s="2" t="n"/>
      <c r="L23" s="0" t="n"/>
      <c r="M23" s="0" t="n"/>
      <c r="N23" s="0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AA23" s="0" t="n"/>
      <c r="AB23" s="0" t="n"/>
      <c r="AC23" s="9" t="n"/>
    </row>
    <row r="24">
      <c r="A24" s="16" t="n"/>
      <c r="D24" s="17" t="n"/>
      <c r="E24" s="2" t="n"/>
      <c r="F24" s="2" t="n"/>
      <c r="K24" s="2" t="n"/>
      <c r="L24" s="0" t="n"/>
      <c r="M24" s="0" t="n"/>
      <c r="N24" s="0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AA24" s="0" t="n"/>
      <c r="AB24" s="0" t="n"/>
      <c r="AC24" s="9" t="n"/>
    </row>
    <row r="25">
      <c r="A25" s="16" t="n"/>
      <c r="D25" s="17" t="n"/>
      <c r="E25" s="2" t="n"/>
      <c r="F25" s="2" t="n"/>
      <c r="K25" s="2" t="n"/>
      <c r="L25" s="0" t="n"/>
      <c r="M25" s="0" t="n"/>
      <c r="N25" s="0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AA25" s="0" t="n"/>
      <c r="AB25" s="0" t="n"/>
      <c r="AC25" s="9" t="n"/>
    </row>
    <row r="26">
      <c r="A26" s="16" t="n"/>
      <c r="D26" s="17" t="n"/>
      <c r="E26" s="2" t="n"/>
      <c r="F26" s="2" t="n"/>
      <c r="K26" s="2" t="n"/>
      <c r="L26" s="0" t="n"/>
      <c r="M26" s="0" t="n"/>
      <c r="N26" s="0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AA26" s="0" t="n"/>
      <c r="AB26" s="0" t="n"/>
      <c r="AC26" s="9" t="n"/>
    </row>
    <row r="27">
      <c r="A27" s="18" t="n"/>
      <c r="D27" s="17" t="n"/>
      <c r="E27" s="2" t="n"/>
      <c r="F27" s="2" t="n"/>
      <c r="K27" s="2" t="n"/>
      <c r="L27" s="0" t="n"/>
      <c r="M27" s="0" t="n"/>
      <c r="N27" s="0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AA27" s="0" t="n"/>
      <c r="AB27" s="0" t="n"/>
      <c r="AC27" s="9" t="n"/>
    </row>
    <row r="28">
      <c r="A28" s="18" t="n"/>
      <c r="D28" s="17" t="n"/>
      <c r="E28" s="2" t="n"/>
      <c r="F28" s="2" t="n"/>
      <c r="K28" s="2" t="n"/>
      <c r="L28" s="0" t="n"/>
      <c r="M28" s="0" t="n"/>
      <c r="N28" s="0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AA28" s="0" t="n"/>
      <c r="AB28" s="0" t="n"/>
      <c r="AC28" s="9" t="n"/>
    </row>
    <row r="29">
      <c r="A29" s="18" t="n"/>
      <c r="D29" s="17" t="n"/>
      <c r="E29" s="2" t="n"/>
      <c r="F29" s="2" t="n"/>
      <c r="K29" s="2" t="n"/>
      <c r="L29" s="0" t="n"/>
      <c r="M29" s="0" t="n"/>
      <c r="N29" s="0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AA29" s="0" t="n"/>
      <c r="AB29" s="0" t="n"/>
      <c r="AC29" s="9" t="n"/>
    </row>
    <row r="30">
      <c r="A30" s="18" t="n"/>
      <c r="D30" s="17" t="n"/>
      <c r="E30" s="2" t="n"/>
      <c r="F30" s="2" t="n"/>
      <c r="K30" s="2" t="n"/>
      <c r="L30" s="0" t="n"/>
      <c r="M30" s="0" t="n"/>
      <c r="N30" s="0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AA30" s="0" t="n"/>
      <c r="AB30" s="0" t="n"/>
      <c r="AC30" s="9" t="n"/>
    </row>
  </sheetData>
  <dataValidations count="1">
    <dataValidation sqref="C2:C98" showDropDown="0" showInputMessage="1" showErrorMessage="1" allowBlank="1" type="list">
      <formula1>parametros!$A$2:$A$6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B22" sqref="B22"/>
    </sheetView>
  </sheetViews>
  <sheetFormatPr baseColWidth="8" defaultColWidth="8.888888888888889" defaultRowHeight="14.4"/>
  <cols>
    <col width="11.1111111111111" customWidth="1" style="1" min="2" max="2"/>
  </cols>
  <sheetData>
    <row r="1">
      <c r="A1" s="2" t="inlineStr">
        <is>
          <t>etapa</t>
        </is>
      </c>
      <c r="B1" s="0" t="inlineStr">
        <is>
          <t>kc</t>
        </is>
      </c>
      <c r="D1" s="2" t="inlineStr">
        <is>
          <t>suelo</t>
        </is>
      </c>
      <c r="E1" s="0" t="inlineStr">
        <is>
          <t>theta_cc</t>
        </is>
      </c>
      <c r="F1" s="0" t="inlineStr">
        <is>
          <t>theta_pmp</t>
        </is>
      </c>
      <c r="G1" s="0" t="inlineStr">
        <is>
          <t>profundidad_raiz_m</t>
        </is>
      </c>
      <c r="H1" s="0" t="inlineStr">
        <is>
          <t>p</t>
        </is>
      </c>
      <c r="J1" s="2" t="inlineStr">
        <is>
          <t>horas_max_evento</t>
        </is>
      </c>
    </row>
    <row r="2">
      <c r="A2" s="2" t="inlineStr">
        <is>
          <t>Brotacion</t>
        </is>
      </c>
      <c r="B2" s="0" t="n">
        <v>0.4</v>
      </c>
      <c r="D2" s="2" t="inlineStr">
        <is>
          <t>Franco_demo</t>
        </is>
      </c>
      <c r="E2" s="0" t="n">
        <v>0.27</v>
      </c>
      <c r="F2" s="0" t="n">
        <v>0.12</v>
      </c>
      <c r="G2" s="0" t="n">
        <v>1</v>
      </c>
      <c r="H2" s="0" t="n">
        <v>0.45</v>
      </c>
      <c r="J2" s="0" t="n">
        <v>8</v>
      </c>
    </row>
    <row r="3">
      <c r="A3" s="2" t="inlineStr">
        <is>
          <t>Floracion</t>
        </is>
      </c>
      <c r="B3" s="0" t="n">
        <v>0.55</v>
      </c>
      <c r="D3" s="2" t="inlineStr">
        <is>
          <t>Suelo_prueba</t>
        </is>
      </c>
      <c r="E3" s="0" t="n">
        <v>0.2</v>
      </c>
      <c r="F3" s="0" t="n">
        <v>0.1</v>
      </c>
    </row>
    <row r="4">
      <c r="A4" s="2" t="inlineStr">
        <is>
          <t>Cuaja</t>
        </is>
      </c>
      <c r="B4" s="0" t="n">
        <v>0.6</v>
      </c>
    </row>
    <row r="5">
      <c r="A5" s="2" t="inlineStr">
        <is>
          <t>Envero</t>
        </is>
      </c>
      <c r="B5" s="0" t="n">
        <v>0.6</v>
      </c>
    </row>
    <row r="6">
      <c r="A6" s="2" t="inlineStr">
        <is>
          <t>Maduracion</t>
        </is>
      </c>
      <c r="B6" s="0" t="n">
        <v>0.55</v>
      </c>
    </row>
    <row r="7"/>
    <row r="8">
      <c r="A8" s="2" t="inlineStr">
        <is>
          <t>ubicacion_clima</t>
        </is>
      </c>
      <c r="B8" s="2" t="inlineStr">
        <is>
          <t>Curicó</t>
        </is>
      </c>
    </row>
    <row r="9">
      <c r="A9" s="2" t="inlineStr">
        <is>
          <t>fecha_inicio_clima</t>
        </is>
      </c>
      <c r="B9" s="19" t="n">
        <v>46042</v>
      </c>
    </row>
    <row r="10">
      <c r="A10" s="2" t="inlineStr">
        <is>
          <t>fecha_fin_clima</t>
        </is>
      </c>
      <c r="B10" s="20" t="n">
        <v>46058</v>
      </c>
    </row>
    <row r="11">
      <c r="A11" s="2" t="inlineStr">
        <is>
          <t>fuente_clima</t>
        </is>
      </c>
      <c r="B11" s="0" t="inlineStr">
        <is>
          <t>Open-Meteo</t>
        </is>
      </c>
    </row>
    <row r="12">
      <c r="A12" s="2" t="inlineStr">
        <is>
          <t>deficit_inicial_mm</t>
        </is>
      </c>
      <c r="B12" s="0" t="n">
        <v>20</v>
      </c>
    </row>
    <row r="13">
      <c r="A13" s="2" t="inlineStr">
        <is>
          <t>cultivo</t>
        </is>
      </c>
      <c r="B13" s="14" t="inlineStr">
        <is>
          <t>Vid</t>
        </is>
      </c>
    </row>
    <row r="14">
      <c r="A14" s="2" t="inlineStr">
        <is>
          <t>etapa</t>
        </is>
      </c>
      <c r="B14" s="14" t="inlineStr">
        <is>
          <t>Envero</t>
        </is>
      </c>
    </row>
    <row r="15">
      <c r="A15" s="2" t="inlineStr">
        <is>
          <t>superficie_ha</t>
        </is>
      </c>
      <c r="B15" s="2" t="n">
        <v>1.5</v>
      </c>
    </row>
    <row r="16">
      <c r="A16" s="2" t="inlineStr">
        <is>
          <t>eficiencia_riego</t>
        </is>
      </c>
      <c r="B16" s="2" t="n">
        <v>0.85</v>
      </c>
    </row>
    <row r="17">
      <c r="A17" s="2" t="inlineStr">
        <is>
          <t>caudal_m3_h</t>
        </is>
      </c>
      <c r="B17" s="2" t="n">
        <v>20</v>
      </c>
    </row>
    <row r="18">
      <c r="A18" s="2" t="inlineStr">
        <is>
          <t>suelo_seleccionado</t>
        </is>
      </c>
      <c r="B18" s="0" t="inlineStr">
        <is>
          <t>Franco_demo</t>
        </is>
      </c>
    </row>
    <row r="19">
      <c r="A19" s="2" t="inlineStr">
        <is>
          <t>profundidad_raiz_m</t>
        </is>
      </c>
      <c r="B19" s="0" t="n">
        <v>1</v>
      </c>
    </row>
    <row r="20">
      <c r="A20" s="2" t="inlineStr">
        <is>
          <t>p</t>
        </is>
      </c>
      <c r="B20" s="0" t="n">
        <v>0.45</v>
      </c>
    </row>
    <row r="21">
      <c r="A21" s="2" t="inlineStr">
        <is>
          <t>horas_max_evento</t>
        </is>
      </c>
      <c r="B21" s="0" t="n">
        <v>6</v>
      </c>
    </row>
    <row r="22">
      <c r="A22" s="2" t="n"/>
    </row>
    <row r="23">
      <c r="A23" s="2" t="n"/>
    </row>
  </sheetData>
  <dataValidations count="5">
    <dataValidation sqref="B12" showDropDown="0" showInputMessage="1" showErrorMessage="1" allowBlank="1" type="custom">
      <formula1>AND(B12&gt;=0,B12&lt;=riego_diario!$Q$2)</formula1>
    </dataValidation>
    <dataValidation sqref="B14" showDropDown="0" showInputMessage="1" showErrorMessage="1" allowBlank="1" type="list">
      <formula1>$A$2:$A$6</formula1>
    </dataValidation>
    <dataValidation sqref="B18" showDropDown="0" showInputMessage="1" showErrorMessage="1" allowBlank="1" type="list">
      <formula1>parametros!$D$2:$D$100</formula1>
    </dataValidation>
    <dataValidation sqref="B19 B21" showDropDown="0" showInputMessage="1" showErrorMessage="1" allowBlank="1" type="decimal" operator="greaterThan">
      <formula1>0</formula1>
    </dataValidation>
    <dataValidation sqref="B20" showDropDown="0" showInputMessage="1" showErrorMessage="1" allowBlank="1" type="decimal" operator="between">
      <formula1>0</formula1>
      <formula2>1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I30" sqref="I30"/>
    </sheetView>
  </sheetViews>
  <sheetFormatPr baseColWidth="8" defaultColWidth="8.888888888888889" defaultRowHeight="14.4"/>
  <cols>
    <col width="28.7777777777778" customWidth="1" style="1" min="1" max="1"/>
    <col width="25.4444444444444" customWidth="1" style="1" min="2" max="2"/>
    <col width="23.1111111111111" customWidth="1" style="1" min="4" max="4"/>
    <col width="12.4444444444444" customWidth="1" style="1" min="5" max="5"/>
  </cols>
  <sheetData>
    <row r="1" ht="17.4" customHeight="1" s="1">
      <c r="A1" s="5" t="inlineStr">
        <is>
          <t>SISTEMA DE APOYO A DECISIONES DE RIEGO</t>
        </is>
      </c>
    </row>
    <row r="2">
      <c r="A2" s="6" t="inlineStr">
        <is>
          <t>ESTADO Y RECOMENDACIÓN</t>
        </is>
      </c>
      <c r="D2" s="7" t="inlineStr">
        <is>
          <t>DATOS DE LA FECHA</t>
        </is>
      </c>
    </row>
    <row r="3">
      <c r="A3" s="2" t="inlineStr">
        <is>
          <t>Fecha seleccionada</t>
        </is>
      </c>
      <c r="B3" s="21" t="n">
        <v>46055</v>
      </c>
      <c r="D3" s="2" t="inlineStr">
        <is>
          <t>Cultivo</t>
        </is>
      </c>
      <c r="E3" s="0">
        <f>VLOOKUP($B$3,riego_diario!$A$2:$AE$100,2,FALSE)</f>
        <v/>
      </c>
    </row>
    <row r="4">
      <c r="A4" s="2" t="inlineStr">
        <is>
          <t>Estado hídrico</t>
        </is>
      </c>
      <c r="B4" s="0">
        <f>VLOOKUP($B$3,riego_diario!$A$2:$AE$100,30,FALSE)</f>
        <v/>
      </c>
      <c r="D4" s="2" t="inlineStr">
        <is>
          <t>Etapa</t>
        </is>
      </c>
      <c r="E4" s="0">
        <f>VLOOKUP($B$3,riego_diario!$A$2:$AE$100,3,FALSE)</f>
        <v/>
      </c>
    </row>
    <row r="5">
      <c r="A5" s="2" t="inlineStr">
        <is>
          <t>Uso del umbral RAW</t>
        </is>
      </c>
      <c r="B5" s="9">
        <f>VLOOKUP($B$3,riego_diario!$A$2:$AE$100,29,FALSE)</f>
        <v/>
      </c>
      <c r="D5" s="2" t="inlineStr">
        <is>
          <t>ETo (mm)</t>
        </is>
      </c>
      <c r="E5" s="0">
        <f>VLOOKUP($B$3,riego_diario!$A$2:$AE$100,4,FALSE)</f>
        <v/>
      </c>
    </row>
    <row r="6">
      <c r="A6" s="2" t="inlineStr">
        <is>
          <t>Déficit acumulado (mm)</t>
        </is>
      </c>
      <c r="B6" s="17">
        <f>VLOOKUP($B$3,riego_diario!$A$2:$AE$100,16,FALSE)</f>
        <v/>
      </c>
      <c r="D6" s="2" t="inlineStr">
        <is>
          <t>Kc</t>
        </is>
      </c>
      <c r="E6" s="0">
        <f>VLOOKUP($B$3,riego_diario!$A$2:$AE$100,5,FALSE)</f>
        <v/>
      </c>
    </row>
    <row r="7">
      <c r="A7" s="2" t="inlineStr">
        <is>
          <t>Umbral RAW (mm)</t>
        </is>
      </c>
      <c r="B7" s="17">
        <f>VLOOKUP($B$3,riego_diario!$A$2:$AE$100,18,FALSE)</f>
        <v/>
      </c>
      <c r="D7" s="2" t="inlineStr">
        <is>
          <t>Lluvia efectiva (mm)</t>
        </is>
      </c>
      <c r="E7" s="0">
        <f>VLOOKUP($B$3,riego_diario!$A$2:$AE$100,6,FALSE)</f>
        <v/>
      </c>
    </row>
    <row r="8">
      <c r="A8" s="2" t="inlineStr">
        <is>
          <t>Decisión</t>
        </is>
      </c>
      <c r="B8" s="2">
        <f>VLOOKUP($B$3,riego_diario!$A$2:$AE$100,19,FALSE)</f>
        <v/>
      </c>
      <c r="D8" s="2" t="inlineStr">
        <is>
          <t>Superficie (ha)</t>
        </is>
      </c>
      <c r="E8" s="0">
        <f>VLOOKUP($B$3,riego_diario!$A$2:$AE$100,7,FALSE)</f>
        <v/>
      </c>
    </row>
    <row r="9" ht="31.2" customHeight="1" s="1">
      <c r="A9" s="2" t="inlineStr">
        <is>
          <t>Recomendación</t>
        </is>
      </c>
      <c r="B9" s="11">
        <f>VLOOKUP($B$3,riego_diario!$A$2:$AE$100,28,FALSE)</f>
        <v/>
      </c>
      <c r="D9" s="2" t="inlineStr">
        <is>
          <t>Precipitación (mm)</t>
        </is>
      </c>
      <c r="E9" s="17">
        <f>VLOOKUP($B$3,clima_real!$A$2:$E$26,3,FALSE)</f>
        <v/>
      </c>
    </row>
    <row r="10">
      <c r="A10" s="2" t="inlineStr">
        <is>
          <t>Tasa de aplicación (mm/h)</t>
        </is>
      </c>
      <c r="B10" s="17">
        <f>VLOOKUP($B$3,riego_diario!$A$2:$AE$100,31,FALSE)</f>
        <v/>
      </c>
      <c r="D10" s="2" t="inlineStr">
        <is>
          <t>Fuente climática</t>
        </is>
      </c>
      <c r="E10" s="0">
        <f>VLOOKUP($B$3,clima_real!$A$2:$E$26,4,FALSE)</f>
        <v/>
      </c>
    </row>
    <row r="11">
      <c r="D11" s="0" t="inlineStr">
        <is>
          <t>Ubicacion</t>
        </is>
      </c>
      <c r="E11" s="0">
        <f>parametros!$B$8</f>
        <v/>
      </c>
    </row>
  </sheetData>
  <mergeCells count="4">
    <mergeCell ref="B9:C9"/>
    <mergeCell ref="A1:E1"/>
    <mergeCell ref="A2:B2"/>
    <mergeCell ref="D2:E2"/>
  </mergeCells>
  <conditionalFormatting sqref="B4">
    <cfRule type="containsText" priority="5" operator="between" dxfId="0" text="Normal">
      <formula>NOT(ISERROR(SEARCH("Normal",B4)))</formula>
    </cfRule>
    <cfRule type="containsText" priority="4" operator="between" dxfId="1" text="Regar">
      <formula>NOT(ISERROR(SEARCH("Regar",B4)))</formula>
    </cfRule>
    <cfRule type="containsText" priority="3" operator="between" dxfId="2" text="Atencion">
      <formula>NOT(ISERROR(SEARCH("Atencion",B4)))</formula>
    </cfRule>
  </conditionalFormatting>
  <conditionalFormatting sqref="B8">
    <cfRule type="containsText" priority="2" operator="between" dxfId="1" text="Regar">
      <formula>NOT(ISERROR(SEARCH("Regar",B8)))</formula>
    </cfRule>
    <cfRule type="containsText" priority="1" operator="between" dxfId="0" text="No regar">
      <formula>NOT(ISERROR(SEARCH("No regar",B8)))</formula>
    </cfRule>
  </conditionalFormatting>
  <dataValidations count="1">
    <dataValidation sqref="B3" showDropDown="0" showInputMessage="1" showErrorMessage="1" allowBlank="1" type="list">
      <formula1>riego_diario!$A$2:$A$100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I12" sqref="I12"/>
    </sheetView>
  </sheetViews>
  <sheetFormatPr baseColWidth="8" defaultColWidth="8.888888888888889" defaultRowHeight="14.4"/>
  <cols>
    <col width="10.2222222222222" customWidth="1" style="1" min="1" max="1"/>
  </cols>
  <sheetData>
    <row r="1">
      <c r="A1" s="2" t="inlineStr">
        <is>
          <t>fecha</t>
        </is>
      </c>
      <c r="B1" s="0" t="inlineStr">
        <is>
          <t>eto_mm</t>
        </is>
      </c>
      <c r="C1" s="0" t="inlineStr">
        <is>
          <t>precipitacion_mm</t>
        </is>
      </c>
      <c r="D1" s="0" t="inlineStr">
        <is>
          <t>fuente</t>
        </is>
      </c>
      <c r="E1" s="2" t="inlineStr">
        <is>
          <t>precipitacion_efectiva_mm</t>
        </is>
      </c>
    </row>
    <row r="2">
      <c r="A2" s="22" t="n">
        <v>46042</v>
      </c>
      <c r="B2" s="0" t="n">
        <v>6.35</v>
      </c>
      <c r="C2" s="0" t="n">
        <v>0</v>
      </c>
      <c r="D2" s="0" t="inlineStr">
        <is>
          <t>Open-Meteo</t>
        </is>
      </c>
      <c r="E2" s="2" t="n">
        <v>0</v>
      </c>
    </row>
    <row r="3">
      <c r="A3" s="22" t="n">
        <v>46043</v>
      </c>
      <c r="B3" s="0" t="n">
        <v>6.39</v>
      </c>
      <c r="C3" s="0" t="n">
        <v>0</v>
      </c>
      <c r="D3" s="0" t="inlineStr">
        <is>
          <t>Open-Meteo</t>
        </is>
      </c>
      <c r="E3" s="2" t="n">
        <v>0</v>
      </c>
    </row>
    <row r="4">
      <c r="A4" s="22" t="n">
        <v>46044</v>
      </c>
      <c r="B4" s="0" t="n">
        <v>6.71</v>
      </c>
      <c r="C4" s="0" t="n">
        <v>0</v>
      </c>
      <c r="D4" s="0" t="inlineStr">
        <is>
          <t>Open-Meteo</t>
        </is>
      </c>
      <c r="E4" s="2" t="n">
        <v>0</v>
      </c>
    </row>
    <row r="5">
      <c r="A5" s="22" t="n">
        <v>46045</v>
      </c>
      <c r="B5" s="0" t="n">
        <v>6.8</v>
      </c>
      <c r="C5" s="0" t="n">
        <v>0</v>
      </c>
      <c r="D5" s="0" t="inlineStr">
        <is>
          <t>Open-Meteo</t>
        </is>
      </c>
      <c r="E5" s="2" t="n">
        <v>0</v>
      </c>
    </row>
    <row r="6">
      <c r="A6" s="22" t="n">
        <v>46046</v>
      </c>
      <c r="B6" s="0" t="n">
        <v>6.35</v>
      </c>
      <c r="C6" s="0" t="n">
        <v>0</v>
      </c>
      <c r="D6" s="0" t="inlineStr">
        <is>
          <t>Open-Meteo</t>
        </is>
      </c>
      <c r="E6" s="2" t="n">
        <v>0</v>
      </c>
    </row>
    <row r="7">
      <c r="A7" s="22" t="n">
        <v>46047</v>
      </c>
      <c r="B7" s="0" t="n">
        <v>4.34</v>
      </c>
      <c r="C7" s="0" t="n">
        <v>0.1</v>
      </c>
      <c r="D7" s="0" t="inlineStr">
        <is>
          <t>Open-Meteo</t>
        </is>
      </c>
      <c r="E7" s="2" t="n">
        <v>0.1</v>
      </c>
    </row>
    <row r="8">
      <c r="A8" s="22" t="n">
        <v>46048</v>
      </c>
      <c r="B8" s="0" t="n">
        <v>6.11</v>
      </c>
      <c r="C8" s="0" t="n">
        <v>0</v>
      </c>
      <c r="D8" s="0" t="inlineStr">
        <is>
          <t>Open-Meteo</t>
        </is>
      </c>
      <c r="E8" s="2" t="n">
        <v>0</v>
      </c>
    </row>
    <row r="9">
      <c r="A9" s="22" t="n">
        <v>46049</v>
      </c>
      <c r="B9" s="0" t="n">
        <v>6.16</v>
      </c>
      <c r="C9" s="0" t="n">
        <v>0</v>
      </c>
      <c r="D9" s="0" t="inlineStr">
        <is>
          <t>Open-Meteo</t>
        </is>
      </c>
      <c r="E9" s="2" t="n">
        <v>0</v>
      </c>
    </row>
    <row r="10">
      <c r="A10" s="22" t="n">
        <v>46050</v>
      </c>
      <c r="B10" s="0" t="n">
        <v>7.16</v>
      </c>
      <c r="C10" s="0" t="n">
        <v>0</v>
      </c>
      <c r="D10" s="0" t="inlineStr">
        <is>
          <t>Open-Meteo</t>
        </is>
      </c>
      <c r="E10" s="2" t="n">
        <v>0</v>
      </c>
    </row>
    <row r="11">
      <c r="A11" s="22" t="n">
        <v>46051</v>
      </c>
      <c r="B11" s="0" t="n">
        <v>6.43</v>
      </c>
      <c r="C11" s="0" t="n">
        <v>0</v>
      </c>
      <c r="D11" s="0" t="inlineStr">
        <is>
          <t>Open-Meteo</t>
        </is>
      </c>
      <c r="E11" s="2" t="n">
        <v>0</v>
      </c>
    </row>
    <row r="12">
      <c r="A12" s="22" t="n">
        <v>46052</v>
      </c>
      <c r="B12" s="0" t="n">
        <v>5.79</v>
      </c>
      <c r="C12" s="0" t="n">
        <v>0</v>
      </c>
      <c r="D12" s="0" t="inlineStr">
        <is>
          <t>Open-Meteo</t>
        </is>
      </c>
      <c r="E12" s="2" t="n">
        <v>0</v>
      </c>
    </row>
    <row r="13">
      <c r="A13" s="22" t="n">
        <v>46053</v>
      </c>
      <c r="B13" s="0" t="n">
        <v>4.55</v>
      </c>
      <c r="C13" s="0" t="n">
        <v>0</v>
      </c>
      <c r="D13" s="0" t="inlineStr">
        <is>
          <t>Open-Meteo</t>
        </is>
      </c>
      <c r="E13" s="2" t="n">
        <v>0</v>
      </c>
    </row>
    <row r="14">
      <c r="A14" s="22" t="n">
        <v>46054</v>
      </c>
      <c r="B14" s="0" t="n">
        <v>5.12</v>
      </c>
      <c r="C14" s="0" t="n">
        <v>0</v>
      </c>
      <c r="D14" s="0" t="inlineStr">
        <is>
          <t>Open-Meteo</t>
        </is>
      </c>
      <c r="E14" s="2" t="n">
        <v>0</v>
      </c>
    </row>
    <row r="15">
      <c r="A15" s="22" t="n">
        <v>46055</v>
      </c>
      <c r="B15" s="0" t="n">
        <v>3.68</v>
      </c>
      <c r="C15" s="0" t="n">
        <v>0.1</v>
      </c>
      <c r="D15" s="0" t="inlineStr">
        <is>
          <t>Open-Meteo</t>
        </is>
      </c>
      <c r="E15" s="2" t="n">
        <v>0.1</v>
      </c>
    </row>
    <row r="16">
      <c r="A16" s="22" t="n">
        <v>46056</v>
      </c>
      <c r="B16" s="0" t="n">
        <v>5.68</v>
      </c>
      <c r="C16" s="0" t="n">
        <v>0</v>
      </c>
      <c r="D16" s="0" t="inlineStr">
        <is>
          <t>Open-Meteo</t>
        </is>
      </c>
      <c r="E16" s="2" t="n">
        <v>0</v>
      </c>
    </row>
    <row r="17">
      <c r="A17" s="22" t="n">
        <v>46057</v>
      </c>
      <c r="B17" s="0" t="n">
        <v>3.78</v>
      </c>
      <c r="C17" s="0" t="n">
        <v>0</v>
      </c>
      <c r="D17" s="0" t="inlineStr">
        <is>
          <t>Open-Meteo</t>
        </is>
      </c>
      <c r="E17" s="2" t="n">
        <v>0</v>
      </c>
    </row>
    <row r="18">
      <c r="A18" s="22" t="n">
        <v>46058</v>
      </c>
      <c r="B18" s="0" t="n">
        <v>5.8</v>
      </c>
      <c r="C18" s="0" t="n">
        <v>0</v>
      </c>
      <c r="D18" s="0" t="inlineStr">
        <is>
          <t>Open-Meteo</t>
        </is>
      </c>
      <c r="E18" s="2" t="n">
        <v>0</v>
      </c>
    </row>
    <row r="19">
      <c r="A19" s="22" t="n"/>
      <c r="E19" s="2" t="n"/>
    </row>
    <row r="20">
      <c r="A20" s="22" t="n"/>
      <c r="E20" s="2" t="n"/>
    </row>
    <row r="21">
      <c r="A21" s="22" t="n"/>
      <c r="E21" s="2" t="n"/>
    </row>
    <row r="22">
      <c r="A22" s="22" t="n"/>
      <c r="E22" s="2" t="n"/>
    </row>
    <row r="23">
      <c r="A23" s="22" t="n"/>
      <c r="E23" s="2" t="n"/>
    </row>
    <row r="24">
      <c r="A24" s="22" t="n"/>
      <c r="E24" s="2" t="n"/>
    </row>
    <row r="25">
      <c r="A25" s="22" t="n"/>
      <c r="E25" s="2" t="n"/>
    </row>
    <row r="26">
      <c r="A26" s="22" t="n"/>
      <c r="E26" s="2" t="n"/>
    </row>
    <row r="27">
      <c r="A27" s="18" t="n"/>
    </row>
    <row r="28">
      <c r="A28" s="18" t="n"/>
    </row>
    <row r="29">
      <c r="A29" s="18" t="n"/>
    </row>
    <row r="30">
      <c r="A30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monki</dc:creator>
  <dcterms:created xsi:type="dcterms:W3CDTF">2026-10-20T00:20:00Z</dcterms:created>
  <dcterms:modified xsi:type="dcterms:W3CDTF">2026-10-20T20:34:01Z</dcterms:modified>
  <cp:lastModifiedBy>Tomás Vega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6F937281B4B34E2686DC9B744DDAF9F2_13</vt:lpwstr>
  </property>
  <property name="KSOProductBuildVer" fmtid="{D5CDD505-2E9C-101B-9397-08002B2CF9AE}" pid="3">
    <vt:lpwstr>3082-12.1.0.29162</vt:lpwstr>
  </property>
  <property name="CalculationRule" fmtid="{D5CDD505-2E9C-101B-9397-08002B2CF9AE}" pid="4">
    <vt:i4>1</vt:i4>
  </property>
  <property name="KSOReadingLayout" fmtid="{D5CDD505-2E9C-101B-9397-08002B2CF9AE}" pid="5">
    <vt:bool>0</vt:bool>
  </property>
</Properties>
</file>